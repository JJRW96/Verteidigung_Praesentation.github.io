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ohan\OneDrive\Desktop\SpoWi\WS 22,23\Masterarbeit - Wirkungsgrad\Daten\"/>
    </mc:Choice>
  </mc:AlternateContent>
  <xr:revisionPtr revIDLastSave="0" documentId="13_ncr:1_{C9C3F72E-3D19-4776-9401-E4FE71E8DAC9}" xr6:coauthVersionLast="47" xr6:coauthVersionMax="47" xr10:uidLastSave="{00000000-0000-0000-0000-000000000000}"/>
  <bookViews>
    <workbookView xWindow="-118" yWindow="-118" windowWidth="25370" windowHeight="13667" tabRatio="614" firstSheet="1" activeTab="3" xr2:uid="{00000000-000D-0000-FFFF-FFFF00000000}"/>
  </bookViews>
  <sheets>
    <sheet name="Probanden" sheetId="1" r:id="rId1"/>
    <sheet name="Probanden_Labordaten" sheetId="2" r:id="rId2"/>
    <sheet name="Stichprobe" sheetId="9" r:id="rId3"/>
    <sheet name="Stichprobe_final" sheetId="10" r:id="rId4"/>
    <sheet name="T2_Reihenfolge" sheetId="3" r:id="rId5"/>
    <sheet name="Laktat" sheetId="4" r:id="rId6"/>
    <sheet name="Vergleich_Schwellen" sheetId="7" r:id="rId7"/>
    <sheet name="Darstellungen" sheetId="8" r:id="rId8"/>
    <sheet name="Blutglukose" sheetId="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0" l="1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C13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Y22" i="2"/>
  <c r="I11" i="7"/>
  <c r="I10" i="7" l="1"/>
  <c r="P10" i="7" l="1"/>
  <c r="L10" i="7"/>
  <c r="Y23" i="2"/>
  <c r="F26" i="2"/>
  <c r="F23" i="2"/>
  <c r="F3" i="2"/>
  <c r="F4" i="2"/>
  <c r="F5" i="2"/>
  <c r="F25" i="2"/>
  <c r="Y26" i="2"/>
  <c r="Y25" i="2"/>
  <c r="Y18" i="2"/>
  <c r="Y16" i="2"/>
  <c r="Y13" i="2"/>
  <c r="Y9" i="2"/>
  <c r="Y6" i="2"/>
  <c r="Y5" i="2"/>
  <c r="Y4" i="2"/>
  <c r="I16" i="7" l="1"/>
  <c r="H16" i="7"/>
  <c r="I12" i="7"/>
  <c r="I13" i="7"/>
  <c r="G13" i="7"/>
  <c r="G12" i="7"/>
  <c r="I9" i="7"/>
  <c r="I6" i="7"/>
  <c r="I7" i="7"/>
  <c r="G30" i="2" l="1"/>
  <c r="H30" i="2"/>
  <c r="I30" i="2"/>
  <c r="J30" i="2"/>
  <c r="K30" i="2"/>
  <c r="L30" i="2"/>
  <c r="X30" i="2"/>
  <c r="U30" i="2"/>
  <c r="V30" i="2"/>
  <c r="W30" i="2"/>
  <c r="E3" i="7" l="1"/>
  <c r="E4" i="7"/>
  <c r="E5" i="7"/>
  <c r="E6" i="7"/>
  <c r="E7" i="7"/>
  <c r="E8" i="7"/>
  <c r="E9" i="7"/>
  <c r="E10" i="7"/>
  <c r="E11" i="7"/>
  <c r="E12" i="7"/>
  <c r="E13" i="7"/>
  <c r="E2" i="7"/>
  <c r="D16" i="7"/>
  <c r="N13" i="7"/>
  <c r="P13" i="7"/>
  <c r="R13" i="7"/>
  <c r="U13" i="7"/>
  <c r="Y13" i="7"/>
  <c r="C16" i="7"/>
  <c r="L13" i="7"/>
  <c r="O16" i="7"/>
  <c r="Z13" i="7"/>
  <c r="AA13" i="7"/>
  <c r="M16" i="7"/>
  <c r="K16" i="7"/>
  <c r="V13" i="7"/>
  <c r="W13" i="7"/>
  <c r="U27" i="2"/>
  <c r="S26" i="2"/>
  <c r="S27" i="2"/>
  <c r="Q27" i="2"/>
  <c r="O27" i="2"/>
  <c r="N26" i="2"/>
  <c r="O26" i="2" s="1"/>
  <c r="T16" i="7"/>
  <c r="U26" i="2"/>
  <c r="Q26" i="2"/>
  <c r="N27" i="2"/>
  <c r="M27" i="2" l="1"/>
  <c r="J27" i="2"/>
  <c r="H27" i="2"/>
  <c r="E27" i="2"/>
  <c r="B27" i="2"/>
  <c r="C27" i="2"/>
  <c r="D27" i="2"/>
  <c r="A27" i="2"/>
  <c r="I31" i="1"/>
  <c r="H31" i="1"/>
  <c r="G31" i="1"/>
  <c r="J26" i="2" l="1"/>
  <c r="M26" i="2"/>
  <c r="H26" i="2"/>
  <c r="E26" i="2"/>
  <c r="B26" i="2"/>
  <c r="C26" i="2"/>
  <c r="D26" i="2"/>
  <c r="A25" i="2"/>
  <c r="A26" i="2"/>
  <c r="I5" i="7" l="1"/>
  <c r="I4" i="7" l="1"/>
  <c r="I3" i="7" l="1"/>
  <c r="I2" i="7" l="1"/>
  <c r="G3" i="7"/>
  <c r="G4" i="7"/>
  <c r="G5" i="7"/>
  <c r="G6" i="7"/>
  <c r="G7" i="7"/>
  <c r="G8" i="7"/>
  <c r="G9" i="7"/>
  <c r="G10" i="7"/>
  <c r="G11" i="7"/>
  <c r="G2" i="7"/>
  <c r="G26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" i="8"/>
  <c r="M25" i="2" l="1"/>
  <c r="M30" i="2" s="1"/>
  <c r="R12" i="7"/>
  <c r="P12" i="7"/>
  <c r="Z12" i="7"/>
  <c r="AA12" i="7"/>
  <c r="N12" i="7"/>
  <c r="L12" i="7"/>
  <c r="V12" i="7"/>
  <c r="W12" i="7"/>
  <c r="Y12" i="7"/>
  <c r="U12" i="7"/>
  <c r="O25" i="2"/>
  <c r="S25" i="2"/>
  <c r="U25" i="2"/>
  <c r="Q25" i="2"/>
  <c r="J25" i="2"/>
  <c r="H25" i="2"/>
  <c r="E25" i="2"/>
  <c r="B25" i="2"/>
  <c r="C25" i="2"/>
  <c r="D25" i="2"/>
  <c r="F12" i="3"/>
  <c r="E12" i="3" l="1"/>
  <c r="G12" i="3" l="1"/>
  <c r="E13" i="3" s="1"/>
  <c r="F13" i="3" l="1"/>
  <c r="R11" i="7"/>
  <c r="P11" i="7"/>
  <c r="Z11" i="7"/>
  <c r="AA11" i="7"/>
  <c r="N11" i="7"/>
  <c r="Y11" i="7"/>
  <c r="U11" i="7"/>
  <c r="V11" i="7"/>
  <c r="W11" i="7"/>
  <c r="L11" i="7"/>
  <c r="O23" i="2"/>
  <c r="S23" i="2"/>
  <c r="U23" i="2"/>
  <c r="Q23" i="2"/>
  <c r="J24" i="2" l="1"/>
  <c r="H24" i="2"/>
  <c r="M24" i="2"/>
  <c r="U24" i="2"/>
  <c r="Q24" i="2"/>
  <c r="N24" i="2"/>
  <c r="O24" i="2" s="1"/>
  <c r="R24" i="2"/>
  <c r="S24" i="2" s="1"/>
  <c r="E21" i="2" l="1"/>
  <c r="E22" i="2"/>
  <c r="E23" i="2"/>
  <c r="E24" i="2"/>
  <c r="B24" i="2"/>
  <c r="C24" i="2"/>
  <c r="D24" i="2"/>
  <c r="A24" i="2"/>
  <c r="Z3" i="7" l="1"/>
  <c r="Z4" i="7"/>
  <c r="Z5" i="7"/>
  <c r="Z6" i="7"/>
  <c r="Z7" i="7"/>
  <c r="Z8" i="7"/>
  <c r="Z9" i="7"/>
  <c r="Z10" i="7"/>
  <c r="AA3" i="7"/>
  <c r="AA4" i="7"/>
  <c r="AA5" i="7"/>
  <c r="AA6" i="7"/>
  <c r="AA7" i="7"/>
  <c r="AA8" i="7"/>
  <c r="AA9" i="7"/>
  <c r="AA10" i="7"/>
  <c r="AA2" i="7"/>
  <c r="Z2" i="7"/>
  <c r="W3" i="7"/>
  <c r="W4" i="7"/>
  <c r="W5" i="7"/>
  <c r="W6" i="7"/>
  <c r="W7" i="7"/>
  <c r="W8" i="7"/>
  <c r="W9" i="7"/>
  <c r="W10" i="7"/>
  <c r="W2" i="7"/>
  <c r="V3" i="7"/>
  <c r="V4" i="7"/>
  <c r="V5" i="7"/>
  <c r="V6" i="7"/>
  <c r="V7" i="7"/>
  <c r="V8" i="7"/>
  <c r="V9" i="7"/>
  <c r="V10" i="7"/>
  <c r="V2" i="7"/>
  <c r="M23" i="2" l="1"/>
  <c r="J23" i="2"/>
  <c r="H23" i="2"/>
  <c r="B23" i="2"/>
  <c r="C23" i="2"/>
  <c r="D23" i="2"/>
  <c r="A23" i="2"/>
  <c r="R10" i="7"/>
  <c r="N10" i="7"/>
  <c r="Y10" i="7"/>
  <c r="U10" i="7"/>
  <c r="Q22" i="2"/>
  <c r="O22" i="2"/>
  <c r="S22" i="2"/>
  <c r="U22" i="2"/>
  <c r="E16" i="7" l="1"/>
  <c r="J22" i="2"/>
  <c r="M22" i="2"/>
  <c r="H22" i="2"/>
  <c r="C22" i="2"/>
  <c r="D22" i="2"/>
  <c r="A21" i="2"/>
  <c r="A22" i="2"/>
  <c r="B21" i="2"/>
  <c r="B22" i="2"/>
  <c r="W16" i="7"/>
  <c r="Z16" i="7"/>
  <c r="AA16" i="7"/>
  <c r="V16" i="7"/>
  <c r="Y3" i="7"/>
  <c r="Y4" i="7"/>
  <c r="Y5" i="7"/>
  <c r="Y6" i="7"/>
  <c r="Y7" i="7"/>
  <c r="Y8" i="7"/>
  <c r="Y9" i="7"/>
  <c r="Y2" i="7"/>
  <c r="U3" i="7"/>
  <c r="U4" i="7"/>
  <c r="U5" i="7"/>
  <c r="U6" i="7"/>
  <c r="U7" i="7"/>
  <c r="U8" i="7"/>
  <c r="U9" i="7"/>
  <c r="U2" i="7"/>
  <c r="X16" i="7"/>
  <c r="F16" i="7"/>
  <c r="G16" i="7"/>
  <c r="L3" i="7"/>
  <c r="L4" i="7"/>
  <c r="L5" i="7"/>
  <c r="L6" i="7"/>
  <c r="L7" i="7"/>
  <c r="L8" i="7"/>
  <c r="L9" i="7"/>
  <c r="N5" i="7"/>
  <c r="N6" i="7"/>
  <c r="N7" i="7"/>
  <c r="N8" i="7"/>
  <c r="N9" i="7"/>
  <c r="P5" i="7"/>
  <c r="P6" i="7"/>
  <c r="P7" i="7"/>
  <c r="P8" i="7"/>
  <c r="P9" i="7"/>
  <c r="R5" i="7"/>
  <c r="R6" i="7"/>
  <c r="R7" i="7"/>
  <c r="R8" i="7"/>
  <c r="R9" i="7"/>
  <c r="R3" i="7"/>
  <c r="R4" i="7"/>
  <c r="R2" i="7"/>
  <c r="L2" i="7"/>
  <c r="N3" i="7"/>
  <c r="N4" i="7"/>
  <c r="N2" i="7"/>
  <c r="P3" i="7"/>
  <c r="P4" i="7"/>
  <c r="P2" i="7"/>
  <c r="Q16" i="7"/>
  <c r="P16" i="7" l="1"/>
  <c r="U16" i="7"/>
  <c r="N16" i="7"/>
  <c r="L16" i="7"/>
  <c r="R16" i="7"/>
  <c r="Y16" i="7"/>
  <c r="R19" i="2" l="1"/>
  <c r="S19" i="2" s="1"/>
  <c r="U19" i="2"/>
  <c r="N19" i="2"/>
  <c r="O19" i="2" s="1"/>
  <c r="Q19" i="2"/>
  <c r="J21" i="2" l="1"/>
  <c r="H21" i="2"/>
  <c r="M19" i="2"/>
  <c r="M20" i="2"/>
  <c r="J19" i="2"/>
  <c r="J20" i="2"/>
  <c r="H19" i="2"/>
  <c r="H20" i="2"/>
  <c r="U20" i="2"/>
  <c r="Q20" i="2"/>
  <c r="N20" i="2"/>
  <c r="O20" i="2" s="1"/>
  <c r="R20" i="2"/>
  <c r="S20" i="2" s="1"/>
  <c r="R18" i="2" l="1"/>
  <c r="S18" i="2" s="1"/>
  <c r="U18" i="2"/>
  <c r="N18" i="2"/>
  <c r="O18" i="2" s="1"/>
  <c r="Q18" i="2"/>
  <c r="J18" i="2"/>
  <c r="H18" i="2"/>
  <c r="M18" i="2"/>
  <c r="E19" i="2"/>
  <c r="E20" i="2"/>
  <c r="B19" i="2"/>
  <c r="C19" i="2"/>
  <c r="D19" i="2"/>
  <c r="B20" i="2"/>
  <c r="C20" i="2"/>
  <c r="D20" i="2"/>
  <c r="A19" i="2"/>
  <c r="A20" i="2"/>
  <c r="E18" i="2" l="1"/>
  <c r="B18" i="2"/>
  <c r="C18" i="2"/>
  <c r="D18" i="2"/>
  <c r="A18" i="2"/>
  <c r="R13" i="2" l="1"/>
  <c r="N13" i="2"/>
  <c r="R17" i="2"/>
  <c r="S17" i="2" s="1"/>
  <c r="U17" i="2"/>
  <c r="N17" i="2"/>
  <c r="O17" i="2" s="1"/>
  <c r="Q17" i="2"/>
  <c r="Q16" i="2" l="1"/>
  <c r="Q30" i="2" s="1"/>
  <c r="S16" i="2"/>
  <c r="S30" i="2" s="1"/>
  <c r="U16" i="2"/>
  <c r="N15" i="2" l="1"/>
  <c r="O15" i="2" s="1"/>
  <c r="O16" i="2"/>
  <c r="O30" i="2" s="1"/>
  <c r="R15" i="2"/>
  <c r="S15" i="2" s="1"/>
  <c r="U15" i="2"/>
  <c r="Q15" i="2"/>
  <c r="R14" i="2" l="1"/>
  <c r="S14" i="2" s="1"/>
  <c r="U14" i="2"/>
  <c r="N14" i="2"/>
  <c r="O14" i="2" s="1"/>
  <c r="Q14" i="2"/>
  <c r="M14" i="2" l="1"/>
  <c r="M16" i="2"/>
  <c r="M17" i="2"/>
  <c r="J17" i="2"/>
  <c r="H17" i="2"/>
  <c r="E17" i="2"/>
  <c r="B17" i="2"/>
  <c r="C17" i="2"/>
  <c r="D17" i="2"/>
  <c r="A17" i="2"/>
  <c r="O13" i="2"/>
  <c r="Q13" i="2"/>
  <c r="S13" i="2"/>
  <c r="U13" i="2"/>
  <c r="U12" i="2" l="1"/>
  <c r="N11" i="2" l="1"/>
  <c r="O11" i="2" s="1"/>
  <c r="N12" i="2"/>
  <c r="O12" i="2" s="1"/>
  <c r="Q11" i="2"/>
  <c r="Q12" i="2"/>
  <c r="R11" i="2"/>
  <c r="S11" i="2" s="1"/>
  <c r="R12" i="2"/>
  <c r="S12" i="2" s="1"/>
  <c r="U11" i="2"/>
  <c r="M15" i="2" l="1"/>
  <c r="M13" i="2"/>
  <c r="M12" i="2"/>
  <c r="M11" i="2"/>
  <c r="J16" i="2"/>
  <c r="H16" i="2"/>
  <c r="E16" i="2"/>
  <c r="C16" i="2"/>
  <c r="D16" i="2"/>
  <c r="B16" i="2"/>
  <c r="A16" i="2"/>
  <c r="N9" i="2"/>
  <c r="J14" i="2" l="1"/>
  <c r="J15" i="2"/>
  <c r="H15" i="2"/>
  <c r="E15" i="2"/>
  <c r="B15" i="2"/>
  <c r="C15" i="2"/>
  <c r="D15" i="2"/>
  <c r="A15" i="2"/>
  <c r="H14" i="2"/>
  <c r="E14" i="2"/>
  <c r="B14" i="2"/>
  <c r="C14" i="2"/>
  <c r="D14" i="2"/>
  <c r="A14" i="2"/>
  <c r="J13" i="2"/>
  <c r="H13" i="2"/>
  <c r="E13" i="2"/>
  <c r="C13" i="2"/>
  <c r="D13" i="2"/>
  <c r="B13" i="2"/>
  <c r="J12" i="2"/>
  <c r="H12" i="2"/>
  <c r="E12" i="2"/>
  <c r="C12" i="2"/>
  <c r="D12" i="2"/>
  <c r="B12" i="2"/>
  <c r="T30" i="2"/>
  <c r="P30" i="2"/>
  <c r="J11" i="2"/>
  <c r="H11" i="2"/>
  <c r="E10" i="2"/>
  <c r="E11" i="2"/>
  <c r="B11" i="2"/>
  <c r="C11" i="2"/>
  <c r="D11" i="2"/>
  <c r="R6" i="2"/>
  <c r="N6" i="2"/>
  <c r="J31" i="1" l="1"/>
  <c r="K31" i="1"/>
  <c r="L31" i="1"/>
  <c r="J10" i="2" l="1"/>
  <c r="H10" i="2"/>
  <c r="Q10" i="2"/>
  <c r="U10" i="2"/>
  <c r="M10" i="2"/>
  <c r="N10" i="2"/>
  <c r="O10" i="2" s="1"/>
  <c r="R10" i="2"/>
  <c r="S10" i="2" s="1"/>
  <c r="C10" i="2"/>
  <c r="D10" i="2"/>
  <c r="B10" i="2"/>
  <c r="R8" i="2"/>
  <c r="S8" i="2" s="1"/>
  <c r="N8" i="2"/>
  <c r="O8" i="2" s="1"/>
  <c r="N3" i="2"/>
  <c r="N4" i="2"/>
  <c r="N5" i="2"/>
  <c r="N7" i="2"/>
  <c r="O9" i="2"/>
  <c r="N2" i="2"/>
  <c r="M9" i="2"/>
  <c r="U9" i="2"/>
  <c r="Q9" i="2"/>
  <c r="U8" i="2"/>
  <c r="Q8" i="2"/>
  <c r="N30" i="2" l="1"/>
  <c r="S9" i="2"/>
  <c r="M8" i="2"/>
  <c r="J8" i="2" l="1"/>
  <c r="J9" i="2"/>
  <c r="H9" i="2"/>
  <c r="B9" i="2"/>
  <c r="C9" i="2"/>
  <c r="D9" i="2"/>
  <c r="E9" i="2"/>
  <c r="H8" i="2"/>
  <c r="C8" i="2"/>
  <c r="D8" i="2"/>
  <c r="E8" i="2"/>
  <c r="B8" i="2"/>
  <c r="M7" i="2" l="1"/>
  <c r="R7" i="2"/>
  <c r="S7" i="2" s="1"/>
  <c r="U7" i="2"/>
  <c r="O7" i="2"/>
  <c r="Q7" i="2"/>
  <c r="J7" i="2"/>
  <c r="H7" i="2"/>
  <c r="B7" i="2"/>
  <c r="C7" i="2"/>
  <c r="D7" i="2"/>
  <c r="E7" i="2"/>
  <c r="U6" i="2"/>
  <c r="Q6" i="2"/>
  <c r="O6" i="2"/>
  <c r="S6" i="2" l="1"/>
  <c r="M6" i="2"/>
  <c r="J6" i="2" l="1"/>
  <c r="H6" i="2"/>
  <c r="B6" i="2"/>
  <c r="C6" i="2"/>
  <c r="D6" i="2"/>
  <c r="E6" i="2"/>
  <c r="A4" i="3" a="1"/>
  <c r="A4" i="3" s="1"/>
  <c r="A5" i="3" s="1"/>
  <c r="A2" i="3" a="1"/>
  <c r="A2" i="3" s="1"/>
  <c r="A3" i="3" s="1"/>
  <c r="A6" i="3" a="1"/>
  <c r="A6" i="3" s="1"/>
  <c r="A7" i="3" l="1"/>
  <c r="M5" i="2"/>
  <c r="M4" i="2" l="1"/>
  <c r="U4" i="2"/>
  <c r="Q4" i="2"/>
  <c r="J4" i="2"/>
  <c r="J5" i="2"/>
  <c r="H4" i="2"/>
  <c r="H5" i="2"/>
  <c r="U5" i="2"/>
  <c r="O5" i="2"/>
  <c r="O4" i="2"/>
  <c r="S4" i="2"/>
  <c r="Q5" i="2"/>
  <c r="R5" i="2"/>
  <c r="R30" i="2" s="1"/>
  <c r="S5" i="2" l="1"/>
  <c r="E4" i="2"/>
  <c r="E5" i="2"/>
  <c r="D4" i="2"/>
  <c r="D5" i="2"/>
  <c r="B5" i="2"/>
  <c r="C4" i="2"/>
  <c r="C5" i="2"/>
  <c r="B4" i="2"/>
  <c r="B3" i="2"/>
  <c r="C3" i="2"/>
  <c r="D3" i="2"/>
  <c r="E3" i="2"/>
  <c r="B2" i="2"/>
  <c r="C2" i="2"/>
  <c r="D2" i="2"/>
  <c r="E2" i="2"/>
  <c r="F2" i="2"/>
  <c r="A4" i="2"/>
  <c r="A5" i="2"/>
  <c r="A6" i="2"/>
  <c r="A7" i="2"/>
  <c r="A8" i="2"/>
  <c r="A9" i="2"/>
  <c r="A10" i="2"/>
  <c r="A11" i="2"/>
  <c r="A12" i="2"/>
  <c r="A13" i="2"/>
  <c r="A2" i="2"/>
  <c r="A3" i="2"/>
  <c r="U3" i="2"/>
  <c r="R3" i="2"/>
  <c r="S3" i="2" s="1"/>
  <c r="Q3" i="2"/>
  <c r="O3" i="2"/>
  <c r="M3" i="2"/>
  <c r="J3" i="2"/>
  <c r="H3" i="2"/>
  <c r="U2" i="2"/>
  <c r="R2" i="2"/>
  <c r="S2" i="2" s="1"/>
  <c r="Q2" i="2"/>
  <c r="O2" i="2"/>
  <c r="M2" i="2"/>
  <c r="J2" i="2"/>
  <c r="H2" i="2"/>
  <c r="E1" i="2"/>
  <c r="F1" i="2"/>
  <c r="B1" i="2"/>
  <c r="C1" i="2"/>
  <c r="D1" i="2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<sst xmlns="http://schemas.openxmlformats.org/spreadsheetml/2006/main" count="571" uniqueCount="268">
  <si>
    <t>Name</t>
  </si>
  <si>
    <t>Will</t>
  </si>
  <si>
    <t>Vorname</t>
  </si>
  <si>
    <t>Johannes</t>
  </si>
  <si>
    <t>Niklas</t>
  </si>
  <si>
    <t>Hambrecht</t>
  </si>
  <si>
    <t>Größe</t>
  </si>
  <si>
    <t>Gewicht</t>
  </si>
  <si>
    <t>Alter</t>
  </si>
  <si>
    <t>Pmax(sitzen)</t>
  </si>
  <si>
    <t>RPMmax</t>
  </si>
  <si>
    <t>VT1/VT2 (%)</t>
  </si>
  <si>
    <t>VT1 (%)</t>
  </si>
  <si>
    <t>VT2 (%)</t>
  </si>
  <si>
    <t>VT1-7,5% Pmax (%)</t>
  </si>
  <si>
    <t>VO2max (l/min) (15 Punkte)</t>
  </si>
  <si>
    <t>VO2max/kg</t>
  </si>
  <si>
    <t>Pmax(sitzen)/kg</t>
  </si>
  <si>
    <t>Pmax(stehen)/kg</t>
  </si>
  <si>
    <t>0.1</t>
  </si>
  <si>
    <t>0.2</t>
  </si>
  <si>
    <t>Degenhart</t>
  </si>
  <si>
    <t>Klemens</t>
  </si>
  <si>
    <t>Betz</t>
  </si>
  <si>
    <t>Svenja</t>
  </si>
  <si>
    <t>Geschlecht</t>
  </si>
  <si>
    <t>männlich</t>
  </si>
  <si>
    <t>weiblich</t>
  </si>
  <si>
    <t>Datum_T1</t>
  </si>
  <si>
    <t>Datum_T2</t>
  </si>
  <si>
    <t>Probanden</t>
  </si>
  <si>
    <t>Kurbellänge (mm)</t>
  </si>
  <si>
    <t>Pmax(stehen)</t>
  </si>
  <si>
    <t>RPM_sitzen</t>
  </si>
  <si>
    <t>RPM_stehen</t>
  </si>
  <si>
    <t>stehen</t>
  </si>
  <si>
    <t>sitzen</t>
  </si>
  <si>
    <t xml:space="preserve">stehen </t>
  </si>
  <si>
    <t>Trainingsstunden_Woche_Rad</t>
  </si>
  <si>
    <t>Trainingsstunden_Ausdauer/Woche_Gesamt</t>
  </si>
  <si>
    <t xml:space="preserve"> </t>
  </si>
  <si>
    <t>Rampe kurz</t>
  </si>
  <si>
    <t>Niedrig_VT1-7,5% Pmax</t>
  </si>
  <si>
    <t>Moderat_VT1</t>
  </si>
  <si>
    <t>Schwer_VT1/VT2</t>
  </si>
  <si>
    <t>Sehr schwer_VT2</t>
  </si>
  <si>
    <t>01_Klemens</t>
  </si>
  <si>
    <t>02_Svenja</t>
  </si>
  <si>
    <t>Zeitpunkt</t>
  </si>
  <si>
    <t>Test 1</t>
  </si>
  <si>
    <t xml:space="preserve">Test 2 </t>
  </si>
  <si>
    <t>Ruhelaktat</t>
  </si>
  <si>
    <t>Nach Erwärmung</t>
  </si>
  <si>
    <t>Belastung_leicht_1</t>
  </si>
  <si>
    <t>Belastung_leicht_2</t>
  </si>
  <si>
    <t>Belastung_moderat_1</t>
  </si>
  <si>
    <t>Belastung_moderat_2</t>
  </si>
  <si>
    <t>Nachbelastung_leicht_1</t>
  </si>
  <si>
    <t>Belastung_schwer_1</t>
  </si>
  <si>
    <t>Nachbelastung_lang</t>
  </si>
  <si>
    <t>Belastung_schwer_2</t>
  </si>
  <si>
    <t>Referenzphase</t>
  </si>
  <si>
    <t>Stufentest_sitzen</t>
  </si>
  <si>
    <t>Rampe_kurz</t>
  </si>
  <si>
    <t>Nachbelastung_ST_stehen</t>
  </si>
  <si>
    <t>Nachbelastung_Drehzahltest</t>
  </si>
  <si>
    <t>Nachbelastung_Rampe_kurz</t>
  </si>
  <si>
    <t>Nachbelastung_ST_sitzen</t>
  </si>
  <si>
    <t>Nachbelastung_leicht_2</t>
  </si>
  <si>
    <t>Nachbelastung_moderat_1</t>
  </si>
  <si>
    <t>Nachbelastung_moderat_2</t>
  </si>
  <si>
    <t>Nachbelastung_schwer_1</t>
  </si>
  <si>
    <t>Dörte</t>
  </si>
  <si>
    <t>Martischewsky</t>
  </si>
  <si>
    <t>03_Dörte</t>
  </si>
  <si>
    <t>Müller</t>
  </si>
  <si>
    <t>Antonia</t>
  </si>
  <si>
    <t>6 ,10</t>
  </si>
  <si>
    <t>3,169</t>
  </si>
  <si>
    <t>Henrik</t>
  </si>
  <si>
    <t>Kästner</t>
  </si>
  <si>
    <t>Richard</t>
  </si>
  <si>
    <t>04_AMüller</t>
  </si>
  <si>
    <t>05_Hmüller</t>
  </si>
  <si>
    <t>4,060</t>
  </si>
  <si>
    <t>06_Kästner</t>
  </si>
  <si>
    <t>4,946</t>
  </si>
  <si>
    <t>Hanke</t>
  </si>
  <si>
    <t>Uwe</t>
  </si>
  <si>
    <t>3,018</t>
  </si>
  <si>
    <t>07_Hanke</t>
  </si>
  <si>
    <t>Average</t>
  </si>
  <si>
    <t>leicht</t>
  </si>
  <si>
    <t>moderat</t>
  </si>
  <si>
    <t>schwer</t>
  </si>
  <si>
    <t>Ruhe</t>
  </si>
  <si>
    <t>Bemerkungen</t>
  </si>
  <si>
    <t>Intensität</t>
  </si>
  <si>
    <t>andere Reihenfolge</t>
  </si>
  <si>
    <t>leicht nach schwer</t>
  </si>
  <si>
    <t>Abbruch moderat_stehen (noch 35s) -&gt; leicht nach schwer</t>
  </si>
  <si>
    <t>Eulitz</t>
  </si>
  <si>
    <t>Gabriel</t>
  </si>
  <si>
    <t>Julian</t>
  </si>
  <si>
    <t>Durchschnitt</t>
  </si>
  <si>
    <t>08_Eulitz</t>
  </si>
  <si>
    <t>Tschernie</t>
  </si>
  <si>
    <t>10_Marek</t>
  </si>
  <si>
    <t>Marek</t>
  </si>
  <si>
    <t>Bosniatzki</t>
  </si>
  <si>
    <t>Heinrich</t>
  </si>
  <si>
    <t>Erik</t>
  </si>
  <si>
    <t>Knaul</t>
  </si>
  <si>
    <t>Selina</t>
  </si>
  <si>
    <t>11_Erik</t>
  </si>
  <si>
    <t>09_Julian</t>
  </si>
  <si>
    <t>jeweils ca. 20 Watt runter von Schwellen</t>
  </si>
  <si>
    <t>jeweils ca. 5%  runter von Schwellen + RPM Daten verloren --&gt; 79rpm im sitzen selbst gewählt --&gt; Abbruch schwer_sitzen (noch 90s)</t>
  </si>
  <si>
    <t>12_Selina</t>
  </si>
  <si>
    <t>Gebhardt</t>
  </si>
  <si>
    <t>Tobias</t>
  </si>
  <si>
    <t>13_Tobias</t>
  </si>
  <si>
    <t>13_Gebhardt</t>
  </si>
  <si>
    <t>4,555</t>
  </si>
  <si>
    <t>5,506</t>
  </si>
  <si>
    <t>6,181</t>
  </si>
  <si>
    <t>3,162</t>
  </si>
  <si>
    <t>Bemerkungen T2</t>
  </si>
  <si>
    <t>Koch</t>
  </si>
  <si>
    <t>Theo</t>
  </si>
  <si>
    <t>4,712</t>
  </si>
  <si>
    <t>5,184</t>
  </si>
  <si>
    <t>4,329</t>
  </si>
  <si>
    <t>14_Theo</t>
  </si>
  <si>
    <t>jeweils ca. 5% runter von den Schwellen</t>
  </si>
  <si>
    <t>Wolf</t>
  </si>
  <si>
    <t>Paul</t>
  </si>
  <si>
    <t>Mattitzer</t>
  </si>
  <si>
    <t>Silvio</t>
  </si>
  <si>
    <t>Marko</t>
  </si>
  <si>
    <t>T1: Spiro beim Stehen ausgefallen</t>
  </si>
  <si>
    <t>5,326</t>
  </si>
  <si>
    <t>???</t>
  </si>
  <si>
    <t>15_Wolf</t>
  </si>
  <si>
    <t>16_Grobluben</t>
  </si>
  <si>
    <t>17_Mattitzer</t>
  </si>
  <si>
    <t>Nachbelastung_schwer_lang</t>
  </si>
  <si>
    <t>Ralf</t>
  </si>
  <si>
    <t xml:space="preserve">Keller </t>
  </si>
  <si>
    <t>4,639</t>
  </si>
  <si>
    <t>Pmax_sitzen</t>
  </si>
  <si>
    <t>Pmax/kg</t>
  </si>
  <si>
    <t>Niedrig (%)</t>
  </si>
  <si>
    <t>Moderat (%)</t>
  </si>
  <si>
    <t>Schwer (%)</t>
  </si>
  <si>
    <t>Niedrig_T1</t>
  </si>
  <si>
    <t>Moderat_T1</t>
  </si>
  <si>
    <t>Schwer_T1</t>
  </si>
  <si>
    <t>S_schwer (%)</t>
  </si>
  <si>
    <t>S_schwer_T1</t>
  </si>
  <si>
    <t>VT1</t>
  </si>
  <si>
    <t>VT2</t>
  </si>
  <si>
    <t>Dif (%)</t>
  </si>
  <si>
    <t>Nr</t>
  </si>
  <si>
    <t>Schlichenmaier</t>
  </si>
  <si>
    <t>Simon</t>
  </si>
  <si>
    <t>Tobi</t>
  </si>
  <si>
    <t>,</t>
  </si>
  <si>
    <t>18_Keller</t>
  </si>
  <si>
    <t>19_Simon</t>
  </si>
  <si>
    <t>Grobluber</t>
  </si>
  <si>
    <t>4,693</t>
  </si>
  <si>
    <t>Tollert</t>
  </si>
  <si>
    <t>Markus</t>
  </si>
  <si>
    <t>20_Tollert</t>
  </si>
  <si>
    <t>Dif_VT1_T2</t>
  </si>
  <si>
    <t>Dif_VT2_T2</t>
  </si>
  <si>
    <t>T1 - Nur 10 Minuten ausfahren + Erg_ST_sitzen verloren; T2 - jeweils ca. 5% runter von den Schwellen</t>
  </si>
  <si>
    <t>Lehmann</t>
  </si>
  <si>
    <t>Methode</t>
  </si>
  <si>
    <t>ca. 20 Watt runter</t>
  </si>
  <si>
    <t>Keine Anpassung</t>
  </si>
  <si>
    <t>5% runter</t>
  </si>
  <si>
    <t>Abb. mod -&gt; Stufe darunter</t>
  </si>
  <si>
    <t>5,714</t>
  </si>
  <si>
    <t>21_Lehmann</t>
  </si>
  <si>
    <t>5,555</t>
  </si>
  <si>
    <t>15_Paul</t>
  </si>
  <si>
    <t>Anzahl Position zuerst</t>
  </si>
  <si>
    <t>Gesamt</t>
  </si>
  <si>
    <t>Maja</t>
  </si>
  <si>
    <t>22_Maja</t>
  </si>
  <si>
    <t>Watt</t>
  </si>
  <si>
    <t>VO2</t>
  </si>
  <si>
    <t>VO2/kg</t>
  </si>
  <si>
    <t>Watt/kg</t>
  </si>
  <si>
    <t>Position</t>
  </si>
  <si>
    <t>T1_VO2_abs</t>
  </si>
  <si>
    <t>T1_VO2_rel</t>
  </si>
  <si>
    <t>T2_VO2_abs</t>
  </si>
  <si>
    <t>T2_VO2_rel</t>
  </si>
  <si>
    <t>3,323</t>
  </si>
  <si>
    <t>6_sitzen</t>
  </si>
  <si>
    <t>5_stehen</t>
  </si>
  <si>
    <t>4_sitzen</t>
  </si>
  <si>
    <t>4,311</t>
  </si>
  <si>
    <t>6,107</t>
  </si>
  <si>
    <t>Würth</t>
  </si>
  <si>
    <t>Alina</t>
  </si>
  <si>
    <t>20_Markus</t>
  </si>
  <si>
    <t>Sara</t>
  </si>
  <si>
    <t>Reichardt</t>
  </si>
  <si>
    <t>Sehr leicht</t>
  </si>
  <si>
    <t>Belastung_sehr_schwer_1</t>
  </si>
  <si>
    <t>Nachbelastung_sehr_schwer_1</t>
  </si>
  <si>
    <t>Belastung_sehr_schwer_2</t>
  </si>
  <si>
    <t>Nachbelastung_sehr_schwer_lang</t>
  </si>
  <si>
    <t>zus. Stufe</t>
  </si>
  <si>
    <t>3,580</t>
  </si>
  <si>
    <t>23_Alina</t>
  </si>
  <si>
    <t>24_Sara</t>
  </si>
  <si>
    <t>W/kg</t>
  </si>
  <si>
    <t>Statt Aufwärmen 50 Watt</t>
  </si>
  <si>
    <t>T1: Fehlerwerte in den Spirodaten; T2: Im Stehen sehr aufrecht --&gt; hoher Luftwiderstand, EPOC-&gt;jede zweite Intensität 0 Watt für + T2 statt Aufwärmen 50 Watt</t>
  </si>
  <si>
    <t>jeweils ca. 5% runter von den Schwellen; T2:Nach moderat1 Getränk mit KH</t>
  </si>
  <si>
    <t>5,107</t>
  </si>
  <si>
    <t>6_stehen</t>
  </si>
  <si>
    <t>5,041</t>
  </si>
  <si>
    <t>3,274</t>
  </si>
  <si>
    <t>7_sitzen</t>
  </si>
  <si>
    <t>19_Simon_T1</t>
  </si>
  <si>
    <t>19_Simon_T2</t>
  </si>
  <si>
    <t>T1 5% runter / T2: 5/5/10W hoch</t>
  </si>
  <si>
    <t>jeweils ca. 5% runter von den Schwellen --&gt; Daten beim ersten Mal verloren (220/245/265) --&gt; Zweiter Test (5/5/10 Watt hoch)</t>
  </si>
  <si>
    <t>19_Simon_1</t>
  </si>
  <si>
    <t>19_Simon_2</t>
  </si>
  <si>
    <t>Durchschnittliche VO2 während den Belastungen bestimmen!</t>
  </si>
  <si>
    <t>Falsche Maske -&gt; Extra small statt small + Ruhemessung Mist --&gt; Viel zu hoch</t>
  </si>
  <si>
    <t>Rampe [Watt]</t>
  </si>
  <si>
    <t>Training_Gesamt [h]</t>
  </si>
  <si>
    <t>Training_Rad [h]</t>
  </si>
  <si>
    <t>Proband</t>
  </si>
  <si>
    <t xml:space="preserve">VO2max (l/min) </t>
  </si>
  <si>
    <t>Mittelwert:</t>
  </si>
  <si>
    <t>SD</t>
  </si>
  <si>
    <t>Alter [Jahre]</t>
  </si>
  <si>
    <t>Kurbellänge [mm]</t>
  </si>
  <si>
    <t>Moderat_VT1 [Watt]</t>
  </si>
  <si>
    <t>Schwer_VT1/VT2 [Watt]</t>
  </si>
  <si>
    <t>Sehr schwer_VT2 [Watt]</t>
  </si>
  <si>
    <t>VT2 [%]</t>
  </si>
  <si>
    <t>VT1/VT2 [%]</t>
  </si>
  <si>
    <t>VT1 [%]</t>
  </si>
  <si>
    <t>Gewicht [kg]</t>
  </si>
  <si>
    <t>Größe [cm]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</si>
  <si>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max,sitzen</t>
    </r>
    <r>
      <rPr>
        <b/>
        <sz val="11"/>
        <color theme="1"/>
        <rFont val="Calibri"/>
        <family val="2"/>
        <scheme val="minor"/>
      </rPr>
      <t xml:space="preserve"> [Watt]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</si>
  <si>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max,sitzen</t>
    </r>
    <r>
      <rPr>
        <b/>
        <sz val="11"/>
        <color theme="1"/>
        <rFont val="Calibri"/>
        <family val="2"/>
        <scheme val="minor"/>
      </rPr>
      <t xml:space="preserve"> [W/kg]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</si>
  <si>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[Umdrehungen/min]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</si>
  <si>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sitzen</t>
    </r>
    <r>
      <rPr>
        <b/>
        <sz val="11"/>
        <color theme="1"/>
        <rFont val="Calibri"/>
        <family val="2"/>
        <scheme val="minor"/>
      </rPr>
      <t xml:space="preserve"> [Umdrehungen/min]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</si>
  <si>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stehen</t>
    </r>
    <r>
      <rPr>
        <b/>
        <sz val="11"/>
        <color theme="1"/>
        <rFont val="Calibri"/>
        <family val="2"/>
        <scheme val="minor"/>
      </rPr>
      <t xml:space="preserve"> [Umdrehungen/min]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</si>
  <si>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max,Rampe</t>
    </r>
    <r>
      <rPr>
        <b/>
        <sz val="11"/>
        <color theme="1"/>
        <rFont val="Calibri"/>
        <family val="2"/>
        <scheme val="minor"/>
      </rPr>
      <t xml:space="preserve"> [W/kg]</t>
    </r>
  </si>
  <si>
    <t>Pmax,Rampe [W/kg]</t>
  </si>
  <si>
    <r>
      <t>Niedrig_VT1-7,5% P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[Watt]</t>
    </r>
  </si>
  <si>
    <r>
      <t>VT1-7,5% P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[%]</t>
    </r>
  </si>
  <si>
    <r>
      <t>Training</t>
    </r>
    <r>
      <rPr>
        <b/>
        <vertAlign val="subscript"/>
        <sz val="11"/>
        <color theme="1"/>
        <rFont val="Calibri"/>
        <family val="2"/>
        <scheme val="minor"/>
      </rPr>
      <t>Gesamt</t>
    </r>
    <r>
      <rPr>
        <b/>
        <sz val="11"/>
        <color theme="1"/>
        <rFont val="Calibri"/>
        <family val="2"/>
        <scheme val="minor"/>
      </rPr>
      <t xml:space="preserve"> [h]</t>
    </r>
  </si>
  <si>
    <r>
      <t>Training</t>
    </r>
    <r>
      <rPr>
        <b/>
        <vertAlign val="subscript"/>
        <sz val="11"/>
        <color theme="1"/>
        <rFont val="Calibri"/>
        <family val="2"/>
        <scheme val="minor"/>
      </rPr>
      <t>Rad</t>
    </r>
    <r>
      <rPr>
        <b/>
        <sz val="11"/>
        <color theme="1"/>
        <rFont val="Calibri"/>
        <family val="2"/>
        <scheme val="minor"/>
      </rPr>
      <t xml:space="preserve"> [h]</t>
    </r>
  </si>
  <si>
    <r>
      <t>V̇O</t>
    </r>
    <r>
      <rPr>
        <b/>
        <vertAlign val="subscript"/>
        <sz val="11"/>
        <color theme="1"/>
        <rFont val="Calibri"/>
        <family val="2"/>
        <scheme val="minor"/>
      </rPr>
      <t>2max</t>
    </r>
    <r>
      <rPr>
        <b/>
        <sz val="11"/>
        <color theme="1"/>
        <rFont val="Calibri"/>
        <family val="2"/>
        <scheme val="minor"/>
      </rPr>
      <t xml:space="preserve"> [l/min]</t>
    </r>
  </si>
  <si>
    <r>
      <t>V̇O</t>
    </r>
    <r>
      <rPr>
        <b/>
        <vertAlign val="subscript"/>
        <sz val="11"/>
        <color theme="1"/>
        <rFont val="Calibri"/>
        <family val="2"/>
        <scheme val="minor"/>
      </rPr>
      <t>2max</t>
    </r>
    <r>
      <rPr>
        <b/>
        <sz val="11"/>
        <color theme="1"/>
        <rFont val="Calibri"/>
        <family val="2"/>
        <scheme val="minor"/>
      </rPr>
      <t xml:space="preserve"> [ml/min/kg]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</si>
</sst>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%"/>
    <numFmt numFmtId="167" formatCode="00"/>
    <numFmt numFmtId="168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65" fontId="0" fillId="0" borderId="0" xfId="0" applyNumberFormat="1"/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4" fontId="0" fillId="2" borderId="0" xfId="0" applyNumberFormat="1" applyFill="1"/>
    <xf numFmtId="14" fontId="1" fillId="0" borderId="0" xfId="0" applyNumberFormat="1" applyFont="1"/>
    <xf numFmtId="14" fontId="0" fillId="0" borderId="0" xfId="0" applyNumberFormat="1"/>
    <xf numFmtId="0" fontId="0" fillId="2" borderId="0" xfId="0" applyFill="1" applyAlignment="1">
      <alignment horizontal="right"/>
    </xf>
    <xf numFmtId="2" fontId="0" fillId="0" borderId="0" xfId="0" applyNumberFormat="1"/>
    <xf numFmtId="0" fontId="0" fillId="2" borderId="2" xfId="0" applyFill="1" applyBorder="1"/>
    <xf numFmtId="0" fontId="0" fillId="2" borderId="1" xfId="0" applyFill="1" applyBorder="1"/>
    <xf numFmtId="0" fontId="1" fillId="0" borderId="3" xfId="0" applyFont="1" applyBorder="1"/>
    <xf numFmtId="0" fontId="2" fillId="0" borderId="0" xfId="0" applyFont="1"/>
    <xf numFmtId="0" fontId="0" fillId="3" borderId="0" xfId="0" applyFill="1"/>
    <xf numFmtId="0" fontId="1" fillId="0" borderId="4" xfId="0" applyFont="1" applyBorder="1"/>
    <xf numFmtId="0" fontId="0" fillId="0" borderId="4" xfId="0" applyBorder="1"/>
    <xf numFmtId="0" fontId="0" fillId="0" borderId="5" xfId="0" applyBorder="1"/>
    <xf numFmtId="0" fontId="0" fillId="3" borderId="2" xfId="0" applyFill="1" applyBorder="1"/>
    <xf numFmtId="0" fontId="0" fillId="0" borderId="7" xfId="0" applyBorder="1"/>
    <xf numFmtId="0" fontId="1" fillId="5" borderId="0" xfId="0" applyFont="1" applyFill="1"/>
    <xf numFmtId="0" fontId="0" fillId="6" borderId="0" xfId="0" applyFill="1"/>
    <xf numFmtId="0" fontId="1" fillId="7" borderId="0" xfId="0" applyFont="1" applyFill="1"/>
    <xf numFmtId="0" fontId="0" fillId="8" borderId="0" xfId="0" applyFill="1"/>
    <xf numFmtId="0" fontId="1" fillId="9" borderId="0" xfId="0" applyFont="1" applyFill="1"/>
    <xf numFmtId="0" fontId="1" fillId="10" borderId="0" xfId="0" applyFont="1" applyFill="1"/>
    <xf numFmtId="0" fontId="0" fillId="11" borderId="0" xfId="0" applyFill="1"/>
    <xf numFmtId="0" fontId="1" fillId="2" borderId="0" xfId="0" applyFont="1" applyFill="1"/>
    <xf numFmtId="0" fontId="0" fillId="12" borderId="0" xfId="0" applyFill="1"/>
    <xf numFmtId="0" fontId="4" fillId="0" borderId="0" xfId="0" applyFont="1"/>
    <xf numFmtId="164" fontId="0" fillId="0" borderId="0" xfId="0" applyNumberFormat="1"/>
    <xf numFmtId="0" fontId="0" fillId="0" borderId="0" xfId="0" applyAlignment="1">
      <alignment horizontal="right"/>
    </xf>
    <xf numFmtId="1" fontId="0" fillId="4" borderId="0" xfId="0" applyNumberFormat="1" applyFill="1"/>
    <xf numFmtId="1" fontId="0" fillId="0" borderId="0" xfId="0" applyNumberFormat="1"/>
    <xf numFmtId="0" fontId="4" fillId="0" borderId="0" xfId="0" applyFont="1" applyAlignment="1">
      <alignment horizontal="right"/>
    </xf>
    <xf numFmtId="0" fontId="1" fillId="12" borderId="0" xfId="0" applyFont="1" applyFill="1"/>
    <xf numFmtId="14" fontId="0" fillId="12" borderId="0" xfId="0" applyNumberFormat="1" applyFill="1"/>
    <xf numFmtId="165" fontId="0" fillId="12" borderId="0" xfId="0" applyNumberFormat="1" applyFill="1"/>
    <xf numFmtId="1" fontId="0" fillId="6" borderId="0" xfId="0" applyNumberFormat="1" applyFill="1"/>
    <xf numFmtId="1" fontId="0" fillId="8" borderId="0" xfId="0" applyNumberFormat="1" applyFill="1"/>
    <xf numFmtId="1" fontId="0" fillId="11" borderId="0" xfId="0" applyNumberFormat="1" applyFill="1"/>
    <xf numFmtId="0" fontId="7" fillId="0" borderId="0" xfId="0" applyFont="1"/>
    <xf numFmtId="2" fontId="0" fillId="0" borderId="0" xfId="0" applyNumberFormat="1" applyAlignment="1">
      <alignment horizontal="right"/>
    </xf>
    <xf numFmtId="0" fontId="8" fillId="0" borderId="0" xfId="0" applyFont="1"/>
    <xf numFmtId="0" fontId="5" fillId="0" borderId="0" xfId="0" applyFont="1"/>
    <xf numFmtId="0" fontId="0" fillId="3" borderId="3" xfId="0" applyFill="1" applyBorder="1"/>
    <xf numFmtId="1" fontId="0" fillId="4" borderId="3" xfId="0" applyNumberFormat="1" applyFill="1" applyBorder="1"/>
    <xf numFmtId="0" fontId="0" fillId="6" borderId="2" xfId="0" applyFill="1" applyBorder="1"/>
    <xf numFmtId="0" fontId="0" fillId="8" borderId="2" xfId="0" applyFill="1" applyBorder="1"/>
    <xf numFmtId="0" fontId="0" fillId="8" borderId="1" xfId="0" applyFill="1" applyBorder="1"/>
    <xf numFmtId="1" fontId="0" fillId="4" borderId="1" xfId="0" applyNumberFormat="1" applyFill="1" applyBorder="1"/>
    <xf numFmtId="0" fontId="0" fillId="6" borderId="1" xfId="0" applyFill="1" applyBorder="1"/>
    <xf numFmtId="0" fontId="1" fillId="2" borderId="8" xfId="0" applyFont="1" applyFill="1" applyBorder="1"/>
    <xf numFmtId="2" fontId="3" fillId="0" borderId="0" xfId="0" applyNumberFormat="1" applyFont="1"/>
    <xf numFmtId="0" fontId="0" fillId="13" borderId="0" xfId="0" applyFill="1"/>
    <xf numFmtId="2" fontId="5" fillId="0" borderId="0" xfId="0" applyNumberFormat="1" applyFont="1" applyAlignment="1">
      <alignment horizontal="right"/>
    </xf>
    <xf numFmtId="2" fontId="5" fillId="0" borderId="0" xfId="0" applyNumberFormat="1" applyFont="1"/>
    <xf numFmtId="2" fontId="4" fillId="0" borderId="0" xfId="0" applyNumberFormat="1" applyFont="1"/>
    <xf numFmtId="2" fontId="4" fillId="0" borderId="0" xfId="0" applyNumberFormat="1" applyFont="1" applyAlignment="1">
      <alignment horizontal="right"/>
    </xf>
    <xf numFmtId="2" fontId="5" fillId="0" borderId="0" xfId="0" applyNumberFormat="1" applyFont="1" applyAlignment="1">
      <alignment horizontal="center"/>
    </xf>
    <xf numFmtId="164" fontId="0" fillId="2" borderId="0" xfId="0" applyNumberFormat="1" applyFill="1" applyAlignment="1">
      <alignment horizontal="right"/>
    </xf>
    <xf numFmtId="164" fontId="0" fillId="0" borderId="0" xfId="0" applyNumberFormat="1" applyAlignment="1">
      <alignment horizontal="right"/>
    </xf>
    <xf numFmtId="0" fontId="0" fillId="4" borderId="0" xfId="0" applyFill="1"/>
    <xf numFmtId="0" fontId="5" fillId="4" borderId="0" xfId="0" applyFont="1" applyFill="1"/>
    <xf numFmtId="0" fontId="0" fillId="4" borderId="6" xfId="0" applyFill="1" applyBorder="1"/>
    <xf numFmtId="0" fontId="0" fillId="4" borderId="7" xfId="0" applyFill="1" applyBorder="1"/>
    <xf numFmtId="0" fontId="5" fillId="4" borderId="7" xfId="0" applyFont="1" applyFill="1" applyBorder="1"/>
    <xf numFmtId="0" fontId="5" fillId="6" borderId="0" xfId="0" applyFont="1" applyFill="1"/>
    <xf numFmtId="0" fontId="0" fillId="6" borderId="6" xfId="0" applyFill="1" applyBorder="1"/>
    <xf numFmtId="0" fontId="0" fillId="6" borderId="7" xfId="0" applyFill="1" applyBorder="1"/>
    <xf numFmtId="0" fontId="5" fillId="6" borderId="7" xfId="0" applyFont="1" applyFill="1" applyBorder="1"/>
    <xf numFmtId="0" fontId="5" fillId="8" borderId="0" xfId="0" applyFont="1" applyFill="1"/>
    <xf numFmtId="0" fontId="0" fillId="8" borderId="7" xfId="0" applyFill="1" applyBorder="1"/>
    <xf numFmtId="0" fontId="5" fillId="8" borderId="7" xfId="0" applyFont="1" applyFill="1" applyBorder="1"/>
    <xf numFmtId="0" fontId="0" fillId="8" borderId="9" xfId="0" applyFill="1" applyBorder="1"/>
    <xf numFmtId="1" fontId="0" fillId="4" borderId="9" xfId="0" applyNumberFormat="1" applyFill="1" applyBorder="1"/>
    <xf numFmtId="0" fontId="0" fillId="4" borderId="9" xfId="0" applyFill="1" applyBorder="1"/>
    <xf numFmtId="0" fontId="0" fillId="6" borderId="9" xfId="0" applyFill="1" applyBorder="1"/>
    <xf numFmtId="1" fontId="0" fillId="13" borderId="0" xfId="0" applyNumberFormat="1" applyFill="1"/>
    <xf numFmtId="166" fontId="0" fillId="13" borderId="0" xfId="0" applyNumberFormat="1" applyFill="1"/>
    <xf numFmtId="9" fontId="0" fillId="0" borderId="0" xfId="0" applyNumberFormat="1" applyAlignment="1">
      <alignment horizontal="left"/>
    </xf>
    <xf numFmtId="166" fontId="0" fillId="0" borderId="0" xfId="0" applyNumberFormat="1"/>
    <xf numFmtId="2" fontId="0" fillId="12" borderId="0" xfId="0" applyNumberFormat="1" applyFill="1"/>
    <xf numFmtId="0" fontId="1" fillId="0" borderId="7" xfId="0" applyFont="1" applyBorder="1"/>
    <xf numFmtId="0" fontId="1" fillId="5" borderId="7" xfId="0" applyFont="1" applyFill="1" applyBorder="1"/>
    <xf numFmtId="0" fontId="1" fillId="7" borderId="7" xfId="0" applyFont="1" applyFill="1" applyBorder="1"/>
    <xf numFmtId="0" fontId="1" fillId="9" borderId="7" xfId="0" applyFont="1" applyFill="1" applyBorder="1"/>
    <xf numFmtId="0" fontId="1" fillId="10" borderId="7" xfId="0" applyFont="1" applyFill="1" applyBorder="1"/>
    <xf numFmtId="0" fontId="0" fillId="12" borderId="7" xfId="0" applyFill="1" applyBorder="1"/>
    <xf numFmtId="0" fontId="1" fillId="3" borderId="7" xfId="0" applyFont="1" applyFill="1" applyBorder="1"/>
    <xf numFmtId="0" fontId="1" fillId="2" borderId="7" xfId="0" applyFont="1" applyFill="1" applyBorder="1"/>
    <xf numFmtId="0" fontId="1" fillId="0" borderId="11" xfId="0" applyFont="1" applyBorder="1"/>
    <xf numFmtId="0" fontId="0" fillId="0" borderId="10" xfId="0" applyBorder="1"/>
    <xf numFmtId="0" fontId="0" fillId="12" borderId="10" xfId="0" applyFill="1" applyBorder="1"/>
    <xf numFmtId="9" fontId="0" fillId="0" borderId="0" xfId="0" applyNumberFormat="1"/>
    <xf numFmtId="164" fontId="9" fillId="0" borderId="0" xfId="0" applyNumberFormat="1" applyFont="1"/>
    <xf numFmtId="165" fontId="9" fillId="0" borderId="0" xfId="0" applyNumberFormat="1" applyFont="1"/>
    <xf numFmtId="164" fontId="9" fillId="2" borderId="0" xfId="0" applyNumberFormat="1" applyFont="1" applyFill="1"/>
    <xf numFmtId="1" fontId="0" fillId="2" borderId="0" xfId="0" applyNumberFormat="1" applyFill="1"/>
    <xf numFmtId="0" fontId="9" fillId="0" borderId="0" xfId="0" applyFont="1"/>
    <xf numFmtId="164" fontId="9" fillId="0" borderId="0" xfId="0" applyNumberFormat="1" applyFont="1" applyAlignment="1">
      <alignment horizontal="right"/>
    </xf>
    <xf numFmtId="164" fontId="1" fillId="0" borderId="0" xfId="0" applyNumberFormat="1" applyFont="1"/>
    <xf numFmtId="0" fontId="5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0" fillId="0" borderId="0" xfId="0" applyFont="1"/>
    <xf numFmtId="165" fontId="10" fillId="0" borderId="0" xfId="0" applyNumberFormat="1" applyFont="1"/>
    <xf numFmtId="164" fontId="10" fillId="0" borderId="0" xfId="0" applyNumberFormat="1" applyFont="1"/>
    <xf numFmtId="1" fontId="4" fillId="0" borderId="0" xfId="0" applyNumberFormat="1" applyFont="1"/>
    <xf numFmtId="164" fontId="4" fillId="0" borderId="0" xfId="0" applyNumberFormat="1" applyFont="1"/>
    <xf numFmtId="164" fontId="4" fillId="0" borderId="0" xfId="0" applyNumberFormat="1" applyFont="1" applyAlignment="1">
      <alignment horizontal="right"/>
    </xf>
    <xf numFmtId="164" fontId="5" fillId="0" borderId="0" xfId="0" applyNumberFormat="1" applyFont="1"/>
    <xf numFmtId="165" fontId="5" fillId="0" borderId="0" xfId="0" applyNumberFormat="1" applyFont="1"/>
    <xf numFmtId="0" fontId="0" fillId="14" borderId="0" xfId="0" applyFill="1"/>
    <xf numFmtId="165" fontId="5" fillId="2" borderId="0" xfId="0" applyNumberFormat="1" applyFont="1" applyFill="1"/>
    <xf numFmtId="164" fontId="5" fillId="0" borderId="0" xfId="0" applyNumberFormat="1" applyFont="1" applyAlignment="1">
      <alignment horizontal="right"/>
    </xf>
    <xf numFmtId="0" fontId="0" fillId="3" borderId="9" xfId="0" applyFill="1" applyBorder="1"/>
    <xf numFmtId="0" fontId="4" fillId="2" borderId="0" xfId="0" applyFont="1" applyFill="1"/>
    <xf numFmtId="0" fontId="4" fillId="12" borderId="0" xfId="0" applyFont="1" applyFill="1"/>
    <xf numFmtId="0" fontId="12" fillId="0" borderId="0" xfId="0" applyFont="1"/>
    <xf numFmtId="167" fontId="0" fillId="2" borderId="0" xfId="0" applyNumberFormat="1" applyFill="1" applyAlignment="1">
      <alignment horizontal="right"/>
    </xf>
    <xf numFmtId="167" fontId="0" fillId="0" borderId="0" xfId="0" applyNumberFormat="1"/>
    <xf numFmtId="167" fontId="0" fillId="2" borderId="0" xfId="0" applyNumberFormat="1" applyFill="1"/>
    <xf numFmtId="168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8F8F"/>
      <color rgb="FFFF6969"/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VO2</a:t>
            </a:r>
            <a:r>
              <a:rPr lang="de-DE" baseline="0"/>
              <a:t> &amp; VO2/kg vs. Watt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17F-422D-A1F3-C40654AC7FC2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17F-422D-A1F3-C40654AC7FC2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Darstellungen!$D$2:$D$26</c:f>
              <c:numCache>
                <c:formatCode>General</c:formatCode>
                <c:ptCount val="25"/>
                <c:pt idx="0">
                  <c:v>540</c:v>
                </c:pt>
                <c:pt idx="1">
                  <c:v>400</c:v>
                </c:pt>
                <c:pt idx="2">
                  <c:v>440</c:v>
                </c:pt>
                <c:pt idx="3">
                  <c:v>330</c:v>
                </c:pt>
                <c:pt idx="4">
                  <c:v>300</c:v>
                </c:pt>
                <c:pt idx="5">
                  <c:v>255</c:v>
                </c:pt>
                <c:pt idx="6">
                  <c:v>380</c:v>
                </c:pt>
                <c:pt idx="7">
                  <c:v>440</c:v>
                </c:pt>
                <c:pt idx="8">
                  <c:v>300</c:v>
                </c:pt>
                <c:pt idx="9">
                  <c:v>380</c:v>
                </c:pt>
                <c:pt idx="10">
                  <c:v>440</c:v>
                </c:pt>
                <c:pt idx="11">
                  <c:v>500</c:v>
                </c:pt>
                <c:pt idx="12">
                  <c:v>380</c:v>
                </c:pt>
                <c:pt idx="13">
                  <c:v>285</c:v>
                </c:pt>
                <c:pt idx="14">
                  <c:v>460</c:v>
                </c:pt>
                <c:pt idx="15">
                  <c:v>400</c:v>
                </c:pt>
                <c:pt idx="16">
                  <c:v>460</c:v>
                </c:pt>
                <c:pt idx="17">
                  <c:v>420</c:v>
                </c:pt>
                <c:pt idx="18">
                  <c:v>420</c:v>
                </c:pt>
                <c:pt idx="19">
                  <c:v>380</c:v>
                </c:pt>
                <c:pt idx="20">
                  <c:v>360</c:v>
                </c:pt>
                <c:pt idx="21">
                  <c:v>440</c:v>
                </c:pt>
                <c:pt idx="22">
                  <c:v>480</c:v>
                </c:pt>
                <c:pt idx="23">
                  <c:v>330</c:v>
                </c:pt>
                <c:pt idx="24">
                  <c:v>330</c:v>
                </c:pt>
              </c:numCache>
            </c:numRef>
          </c:xVal>
          <c:yVal>
            <c:numRef>
              <c:f>Darstellungen!$F$2:$F$26</c:f>
              <c:numCache>
                <c:formatCode>0.000</c:formatCode>
                <c:ptCount val="25"/>
                <c:pt idx="0">
                  <c:v>6.2</c:v>
                </c:pt>
                <c:pt idx="1">
                  <c:v>4.47</c:v>
                </c:pt>
                <c:pt idx="2">
                  <c:v>5.6550000000000002</c:v>
                </c:pt>
                <c:pt idx="3">
                  <c:v>3.7360000000000002</c:v>
                </c:pt>
                <c:pt idx="4">
                  <c:v>3.6040000000000001</c:v>
                </c:pt>
                <c:pt idx="5">
                  <c:v>3.169</c:v>
                </c:pt>
                <c:pt idx="6">
                  <c:v>4.0599999999999996</c:v>
                </c:pt>
                <c:pt idx="7">
                  <c:v>4.9459999999999997</c:v>
                </c:pt>
                <c:pt idx="8">
                  <c:v>3.0179999999999998</c:v>
                </c:pt>
                <c:pt idx="9">
                  <c:v>4.5549999999999997</c:v>
                </c:pt>
                <c:pt idx="10">
                  <c:v>5.5060000000000002</c:v>
                </c:pt>
                <c:pt idx="11">
                  <c:v>6.181</c:v>
                </c:pt>
                <c:pt idx="12">
                  <c:v>4.3289999999999997</c:v>
                </c:pt>
                <c:pt idx="13">
                  <c:v>3.1619999999999999</c:v>
                </c:pt>
                <c:pt idx="14">
                  <c:v>5.1840000000000002</c:v>
                </c:pt>
                <c:pt idx="15">
                  <c:v>4.7119999999999997</c:v>
                </c:pt>
                <c:pt idx="16">
                  <c:v>5.3259999999999996</c:v>
                </c:pt>
                <c:pt idx="17">
                  <c:v>4.6390000000000002</c:v>
                </c:pt>
                <c:pt idx="18">
                  <c:v>4.8402222222222218</c:v>
                </c:pt>
                <c:pt idx="19">
                  <c:v>4.5549999999999997</c:v>
                </c:pt>
                <c:pt idx="20">
                  <c:v>4.6929999999999996</c:v>
                </c:pt>
                <c:pt idx="21">
                  <c:v>5.5549999999999997</c:v>
                </c:pt>
                <c:pt idx="22">
                  <c:v>5.7140000000000004</c:v>
                </c:pt>
                <c:pt idx="23">
                  <c:v>3.9</c:v>
                </c:pt>
                <c:pt idx="24">
                  <c:v>4.0999999999999996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9-41A9-8F37-E8D419FBE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09935"/>
        <c:axId val="131309519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020-4A78-AD38-16FA50180525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020-4A78-AD38-16FA50180525}"/>
              </c:ext>
            </c:extLst>
          </c:dPt>
          <c:xVal>
            <c:numRef>
              <c:f>Darstellungen!$D$2:$D$26</c:f>
              <c:numCache>
                <c:formatCode>General</c:formatCode>
                <c:ptCount val="25"/>
                <c:pt idx="0">
                  <c:v>540</c:v>
                </c:pt>
                <c:pt idx="1">
                  <c:v>400</c:v>
                </c:pt>
                <c:pt idx="2">
                  <c:v>440</c:v>
                </c:pt>
                <c:pt idx="3">
                  <c:v>330</c:v>
                </c:pt>
                <c:pt idx="4">
                  <c:v>300</c:v>
                </c:pt>
                <c:pt idx="5">
                  <c:v>255</c:v>
                </c:pt>
                <c:pt idx="6">
                  <c:v>380</c:v>
                </c:pt>
                <c:pt idx="7">
                  <c:v>440</c:v>
                </c:pt>
                <c:pt idx="8">
                  <c:v>300</c:v>
                </c:pt>
                <c:pt idx="9">
                  <c:v>380</c:v>
                </c:pt>
                <c:pt idx="10">
                  <c:v>440</c:v>
                </c:pt>
                <c:pt idx="11">
                  <c:v>500</c:v>
                </c:pt>
                <c:pt idx="12">
                  <c:v>380</c:v>
                </c:pt>
                <c:pt idx="13">
                  <c:v>285</c:v>
                </c:pt>
                <c:pt idx="14">
                  <c:v>460</c:v>
                </c:pt>
                <c:pt idx="15">
                  <c:v>400</c:v>
                </c:pt>
                <c:pt idx="16">
                  <c:v>460</c:v>
                </c:pt>
                <c:pt idx="17">
                  <c:v>420</c:v>
                </c:pt>
                <c:pt idx="18">
                  <c:v>420</c:v>
                </c:pt>
                <c:pt idx="19">
                  <c:v>380</c:v>
                </c:pt>
                <c:pt idx="20">
                  <c:v>360</c:v>
                </c:pt>
                <c:pt idx="21">
                  <c:v>440</c:v>
                </c:pt>
                <c:pt idx="22">
                  <c:v>480</c:v>
                </c:pt>
                <c:pt idx="23">
                  <c:v>330</c:v>
                </c:pt>
                <c:pt idx="24">
                  <c:v>330</c:v>
                </c:pt>
              </c:numCache>
            </c:numRef>
          </c:xVal>
          <c:yVal>
            <c:numRef>
              <c:f>Darstellungen!$G$2:$G$26</c:f>
              <c:numCache>
                <c:formatCode>0.0</c:formatCode>
                <c:ptCount val="25"/>
                <c:pt idx="0">
                  <c:v>68.888888888888886</c:v>
                </c:pt>
                <c:pt idx="1">
                  <c:v>64.782608695652172</c:v>
                </c:pt>
                <c:pt idx="2">
                  <c:v>72.500000000000014</c:v>
                </c:pt>
                <c:pt idx="3">
                  <c:v>69.185185185185176</c:v>
                </c:pt>
                <c:pt idx="4">
                  <c:v>75.083333333333329</c:v>
                </c:pt>
                <c:pt idx="5">
                  <c:v>60.942307692307693</c:v>
                </c:pt>
                <c:pt idx="6">
                  <c:v>54.864864864864856</c:v>
                </c:pt>
                <c:pt idx="7">
                  <c:v>67.753424657534239</c:v>
                </c:pt>
                <c:pt idx="8">
                  <c:v>41.916666666666664</c:v>
                </c:pt>
                <c:pt idx="9">
                  <c:v>61.554054054054049</c:v>
                </c:pt>
                <c:pt idx="10">
                  <c:v>63.287356321839084</c:v>
                </c:pt>
                <c:pt idx="11">
                  <c:v>75.378048780487802</c:v>
                </c:pt>
                <c:pt idx="12">
                  <c:v>51.535714285714285</c:v>
                </c:pt>
                <c:pt idx="13">
                  <c:v>53.593220338983045</c:v>
                </c:pt>
                <c:pt idx="14">
                  <c:v>72.000000000000014</c:v>
                </c:pt>
                <c:pt idx="15">
                  <c:v>64.547945205479451</c:v>
                </c:pt>
                <c:pt idx="16">
                  <c:v>70.078947368421041</c:v>
                </c:pt>
                <c:pt idx="17">
                  <c:v>59.474358974358978</c:v>
                </c:pt>
                <c:pt idx="18">
                  <c:v>57.621693121693113</c:v>
                </c:pt>
                <c:pt idx="20">
                  <c:v>72.2</c:v>
                </c:pt>
                <c:pt idx="21">
                  <c:v>69.4375</c:v>
                </c:pt>
                <c:pt idx="22">
                  <c:v>57.717171717171723</c:v>
                </c:pt>
                <c:pt idx="23">
                  <c:v>81.76100628930817</c:v>
                </c:pt>
                <c:pt idx="24">
                  <c:v>85.416666666666657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20-4A78-AD38-16FA50180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01247"/>
        <c:axId val="1308702911"/>
      </c:scatterChart>
      <c:valAx>
        <c:axId val="131309935"/>
        <c:scaling>
          <c:orientation val="minMax"/>
          <c:max val="55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309519"/>
        <c:crosses val="autoZero"/>
        <c:crossBetween val="midCat"/>
      </c:valAx>
      <c:valAx>
        <c:axId val="131309519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309935"/>
        <c:crosses val="autoZero"/>
        <c:crossBetween val="midCat"/>
      </c:valAx>
      <c:valAx>
        <c:axId val="1308702911"/>
        <c:scaling>
          <c:orientation val="minMax"/>
          <c:min val="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8701247"/>
        <c:crosses val="max"/>
        <c:crossBetween val="midCat"/>
      </c:valAx>
      <c:valAx>
        <c:axId val="130870124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30870291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VO2abs</a:t>
            </a:r>
            <a:r>
              <a:rPr lang="de-DE" baseline="0"/>
              <a:t> vs. Watt/kg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Darstellungen!$E$2:$E$26</c:f>
              <c:numCache>
                <c:formatCode>0.0</c:formatCode>
                <c:ptCount val="25"/>
                <c:pt idx="0">
                  <c:v>6</c:v>
                </c:pt>
                <c:pt idx="1">
                  <c:v>5.7971014492753623</c:v>
                </c:pt>
                <c:pt idx="2">
                  <c:v>5.6410256410256414</c:v>
                </c:pt>
                <c:pt idx="3">
                  <c:v>6.1111111111111107</c:v>
                </c:pt>
                <c:pt idx="4">
                  <c:v>6.25</c:v>
                </c:pt>
                <c:pt idx="5">
                  <c:v>4.9038461538461542</c:v>
                </c:pt>
                <c:pt idx="6">
                  <c:v>5.1351351351351351</c:v>
                </c:pt>
                <c:pt idx="7">
                  <c:v>6.0273972602739727</c:v>
                </c:pt>
                <c:pt idx="8">
                  <c:v>4.166666666666667</c:v>
                </c:pt>
                <c:pt idx="9">
                  <c:v>5.1351351351351351</c:v>
                </c:pt>
                <c:pt idx="10">
                  <c:v>5.0574712643678161</c:v>
                </c:pt>
                <c:pt idx="11">
                  <c:v>6.0975609756097562</c:v>
                </c:pt>
                <c:pt idx="12">
                  <c:v>4.5238095238095237</c:v>
                </c:pt>
                <c:pt idx="13">
                  <c:v>4.8305084745762707</c:v>
                </c:pt>
                <c:pt idx="14">
                  <c:v>6.3888888888888893</c:v>
                </c:pt>
                <c:pt idx="15">
                  <c:v>5.4794520547945202</c:v>
                </c:pt>
                <c:pt idx="16">
                  <c:v>6.0526315789473681</c:v>
                </c:pt>
                <c:pt idx="17">
                  <c:v>5.384615384615385</c:v>
                </c:pt>
                <c:pt idx="18">
                  <c:v>5</c:v>
                </c:pt>
                <c:pt idx="19">
                  <c:v>5.5882352941176467</c:v>
                </c:pt>
                <c:pt idx="20">
                  <c:v>5.5384615384615383</c:v>
                </c:pt>
                <c:pt idx="21">
                  <c:v>5.5</c:v>
                </c:pt>
                <c:pt idx="22">
                  <c:v>4.8484848484848486</c:v>
                </c:pt>
                <c:pt idx="23">
                  <c:v>6.9182389937106912</c:v>
                </c:pt>
                <c:pt idx="24">
                  <c:v>6.9182389937106912</c:v>
                </c:pt>
              </c:numCache>
            </c:numRef>
          </c:xVal>
          <c:yVal>
            <c:numRef>
              <c:f>Darstellungen!$F$2:$F$26</c:f>
              <c:numCache>
                <c:formatCode>0.000</c:formatCode>
                <c:ptCount val="25"/>
                <c:pt idx="0">
                  <c:v>6.2</c:v>
                </c:pt>
                <c:pt idx="1">
                  <c:v>4.47</c:v>
                </c:pt>
                <c:pt idx="2">
                  <c:v>5.6550000000000002</c:v>
                </c:pt>
                <c:pt idx="3">
                  <c:v>3.7360000000000002</c:v>
                </c:pt>
                <c:pt idx="4">
                  <c:v>3.6040000000000001</c:v>
                </c:pt>
                <c:pt idx="5">
                  <c:v>3.169</c:v>
                </c:pt>
                <c:pt idx="6">
                  <c:v>4.0599999999999996</c:v>
                </c:pt>
                <c:pt idx="7">
                  <c:v>4.9459999999999997</c:v>
                </c:pt>
                <c:pt idx="8">
                  <c:v>3.0179999999999998</c:v>
                </c:pt>
                <c:pt idx="9">
                  <c:v>4.5549999999999997</c:v>
                </c:pt>
                <c:pt idx="10">
                  <c:v>5.5060000000000002</c:v>
                </c:pt>
                <c:pt idx="11">
                  <c:v>6.181</c:v>
                </c:pt>
                <c:pt idx="12">
                  <c:v>4.3289999999999997</c:v>
                </c:pt>
                <c:pt idx="13">
                  <c:v>3.1619999999999999</c:v>
                </c:pt>
                <c:pt idx="14">
                  <c:v>5.1840000000000002</c:v>
                </c:pt>
                <c:pt idx="15">
                  <c:v>4.7119999999999997</c:v>
                </c:pt>
                <c:pt idx="16">
                  <c:v>5.3259999999999996</c:v>
                </c:pt>
                <c:pt idx="17">
                  <c:v>4.6390000000000002</c:v>
                </c:pt>
                <c:pt idx="18">
                  <c:v>4.8402222222222218</c:v>
                </c:pt>
                <c:pt idx="19">
                  <c:v>4.5549999999999997</c:v>
                </c:pt>
                <c:pt idx="20">
                  <c:v>4.6929999999999996</c:v>
                </c:pt>
                <c:pt idx="21">
                  <c:v>5.5549999999999997</c:v>
                </c:pt>
                <c:pt idx="22">
                  <c:v>5.7140000000000004</c:v>
                </c:pt>
                <c:pt idx="23">
                  <c:v>3.9</c:v>
                </c:pt>
                <c:pt idx="24">
                  <c:v>4.0999999999999996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6F-4C52-8EC5-1B75596A8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09935"/>
        <c:axId val="131309519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D6F-4C52-8EC5-1B75596A8506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D6F-4C52-8EC5-1B75596A8506}"/>
              </c:ext>
            </c:extLst>
          </c:dPt>
          <c:xVal>
            <c:numRef>
              <c:f>Darstellungen!$E$2:$E$26</c:f>
              <c:numCache>
                <c:formatCode>0.0</c:formatCode>
                <c:ptCount val="25"/>
                <c:pt idx="0">
                  <c:v>6</c:v>
                </c:pt>
                <c:pt idx="1">
                  <c:v>5.7971014492753623</c:v>
                </c:pt>
                <c:pt idx="2">
                  <c:v>5.6410256410256414</c:v>
                </c:pt>
                <c:pt idx="3">
                  <c:v>6.1111111111111107</c:v>
                </c:pt>
                <c:pt idx="4">
                  <c:v>6.25</c:v>
                </c:pt>
                <c:pt idx="5">
                  <c:v>4.9038461538461542</c:v>
                </c:pt>
                <c:pt idx="6">
                  <c:v>5.1351351351351351</c:v>
                </c:pt>
                <c:pt idx="7">
                  <c:v>6.0273972602739727</c:v>
                </c:pt>
                <c:pt idx="8">
                  <c:v>4.166666666666667</c:v>
                </c:pt>
                <c:pt idx="9">
                  <c:v>5.1351351351351351</c:v>
                </c:pt>
                <c:pt idx="10">
                  <c:v>5.0574712643678161</c:v>
                </c:pt>
                <c:pt idx="11">
                  <c:v>6.0975609756097562</c:v>
                </c:pt>
                <c:pt idx="12">
                  <c:v>4.5238095238095237</c:v>
                </c:pt>
                <c:pt idx="13">
                  <c:v>4.8305084745762707</c:v>
                </c:pt>
                <c:pt idx="14">
                  <c:v>6.3888888888888893</c:v>
                </c:pt>
                <c:pt idx="15">
                  <c:v>5.4794520547945202</c:v>
                </c:pt>
                <c:pt idx="16">
                  <c:v>6.0526315789473681</c:v>
                </c:pt>
                <c:pt idx="17">
                  <c:v>5.384615384615385</c:v>
                </c:pt>
                <c:pt idx="18">
                  <c:v>5</c:v>
                </c:pt>
                <c:pt idx="19">
                  <c:v>5.5882352941176467</c:v>
                </c:pt>
                <c:pt idx="20">
                  <c:v>5.5384615384615383</c:v>
                </c:pt>
                <c:pt idx="21">
                  <c:v>5.5</c:v>
                </c:pt>
                <c:pt idx="22">
                  <c:v>4.8484848484848486</c:v>
                </c:pt>
                <c:pt idx="23">
                  <c:v>6.9182389937106912</c:v>
                </c:pt>
                <c:pt idx="24">
                  <c:v>6.9182389937106912</c:v>
                </c:pt>
              </c:numCache>
            </c:numRef>
          </c:xVal>
          <c:yVal>
            <c:numRef>
              <c:f>Darstellungen!$G$2:$G$26</c:f>
              <c:numCache>
                <c:formatCode>0.0</c:formatCode>
                <c:ptCount val="25"/>
                <c:pt idx="0">
                  <c:v>68.888888888888886</c:v>
                </c:pt>
                <c:pt idx="1">
                  <c:v>64.782608695652172</c:v>
                </c:pt>
                <c:pt idx="2">
                  <c:v>72.500000000000014</c:v>
                </c:pt>
                <c:pt idx="3">
                  <c:v>69.185185185185176</c:v>
                </c:pt>
                <c:pt idx="4">
                  <c:v>75.083333333333329</c:v>
                </c:pt>
                <c:pt idx="5">
                  <c:v>60.942307692307693</c:v>
                </c:pt>
                <c:pt idx="6">
                  <c:v>54.864864864864856</c:v>
                </c:pt>
                <c:pt idx="7">
                  <c:v>67.753424657534239</c:v>
                </c:pt>
                <c:pt idx="8">
                  <c:v>41.916666666666664</c:v>
                </c:pt>
                <c:pt idx="9">
                  <c:v>61.554054054054049</c:v>
                </c:pt>
                <c:pt idx="10">
                  <c:v>63.287356321839084</c:v>
                </c:pt>
                <c:pt idx="11">
                  <c:v>75.378048780487802</c:v>
                </c:pt>
                <c:pt idx="12">
                  <c:v>51.535714285714285</c:v>
                </c:pt>
                <c:pt idx="13">
                  <c:v>53.593220338983045</c:v>
                </c:pt>
                <c:pt idx="14">
                  <c:v>72.000000000000014</c:v>
                </c:pt>
                <c:pt idx="15">
                  <c:v>64.547945205479451</c:v>
                </c:pt>
                <c:pt idx="16">
                  <c:v>70.078947368421041</c:v>
                </c:pt>
                <c:pt idx="17">
                  <c:v>59.474358974358978</c:v>
                </c:pt>
                <c:pt idx="18">
                  <c:v>57.621693121693113</c:v>
                </c:pt>
                <c:pt idx="20">
                  <c:v>72.2</c:v>
                </c:pt>
                <c:pt idx="21">
                  <c:v>69.4375</c:v>
                </c:pt>
                <c:pt idx="22">
                  <c:v>57.717171717171723</c:v>
                </c:pt>
                <c:pt idx="23">
                  <c:v>81.76100628930817</c:v>
                </c:pt>
                <c:pt idx="24">
                  <c:v>85.416666666666657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6F-4C52-8EC5-1B75596A8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01247"/>
        <c:axId val="1308702911"/>
      </c:scatterChart>
      <c:valAx>
        <c:axId val="131309935"/>
        <c:scaling>
          <c:orientation val="minMax"/>
          <c:max val="7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309519"/>
        <c:crosses val="autoZero"/>
        <c:crossBetween val="midCat"/>
      </c:valAx>
      <c:valAx>
        <c:axId val="131309519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309935"/>
        <c:crosses val="autoZero"/>
        <c:crossBetween val="midCat"/>
      </c:valAx>
      <c:valAx>
        <c:axId val="1308702911"/>
        <c:scaling>
          <c:orientation val="minMax"/>
          <c:min val="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8701247"/>
        <c:crosses val="max"/>
        <c:crossBetween val="midCat"/>
      </c:valAx>
      <c:valAx>
        <c:axId val="1308701247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130870291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70656</xdr:colOff>
      <xdr:row>0</xdr:row>
      <xdr:rowOff>49874</xdr:rowOff>
    </xdr:from>
    <xdr:to>
      <xdr:col>16</xdr:col>
      <xdr:colOff>8312</xdr:colOff>
      <xdr:row>20</xdr:row>
      <xdr:rowOff>41562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99752</xdr:colOff>
      <xdr:row>0</xdr:row>
      <xdr:rowOff>41564</xdr:rowOff>
    </xdr:from>
    <xdr:to>
      <xdr:col>25</xdr:col>
      <xdr:colOff>37409</xdr:colOff>
      <xdr:row>20</xdr:row>
      <xdr:rowOff>33252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L31"/>
  <sheetViews>
    <sheetView workbookViewId="0">
      <selection activeCell="A4" sqref="A4:A27"/>
    </sheetView>
  </sheetViews>
  <sheetFormatPr baseColWidth="10" defaultColWidth="8.88671875" defaultRowHeight="15.05" x14ac:dyDescent="0.3"/>
  <cols>
    <col min="1" max="1" width="9.5546875" bestFit="1" customWidth="1"/>
    <col min="2" max="2" width="12.6640625" bestFit="1" customWidth="1"/>
    <col min="3" max="3" width="8.109375" bestFit="1" customWidth="1"/>
    <col min="4" max="4" width="9.44140625" bestFit="1" customWidth="1"/>
    <col min="5" max="6" width="9.88671875" style="9" bestFit="1" customWidth="1"/>
    <col min="7" max="7" width="4.77734375" bestFit="1" customWidth="1"/>
    <col min="8" max="8" width="5.77734375" bestFit="1" customWidth="1"/>
    <col min="9" max="9" width="7.33203125" bestFit="1" customWidth="1"/>
    <col min="10" max="10" width="15" bestFit="1" customWidth="1"/>
    <col min="11" max="11" width="36.5546875" bestFit="1" customWidth="1"/>
    <col min="12" max="12" width="24.88671875" bestFit="1" customWidth="1"/>
    <col min="13" max="13" width="15.88671875" bestFit="1" customWidth="1"/>
    <col min="14" max="14" width="4" bestFit="1" customWidth="1"/>
    <col min="15" max="15" width="6.88671875" bestFit="1" customWidth="1"/>
    <col min="16" max="16" width="7.77734375" bestFit="1" customWidth="1"/>
    <col min="17" max="17" width="10.6640625" bestFit="1" customWidth="1"/>
    <col min="18" max="18" width="4" bestFit="1" customWidth="1"/>
    <col min="19" max="19" width="6.88671875" bestFit="1" customWidth="1"/>
    <col min="20" max="20" width="6.6640625" bestFit="1" customWidth="1"/>
  </cols>
  <sheetData>
    <row r="1" spans="1:38" s="1" customFormat="1" x14ac:dyDescent="0.3">
      <c r="A1" s="1" t="s">
        <v>30</v>
      </c>
      <c r="B1" s="1" t="s">
        <v>0</v>
      </c>
      <c r="C1" s="1" t="s">
        <v>2</v>
      </c>
      <c r="D1" s="1" t="s">
        <v>25</v>
      </c>
      <c r="E1" s="8" t="s">
        <v>28</v>
      </c>
      <c r="F1" s="8" t="s">
        <v>29</v>
      </c>
      <c r="G1" s="1" t="s">
        <v>8</v>
      </c>
      <c r="H1" s="1" t="s">
        <v>6</v>
      </c>
      <c r="I1" s="1" t="s">
        <v>7</v>
      </c>
      <c r="J1" s="1" t="s">
        <v>31</v>
      </c>
      <c r="K1" s="1" t="s">
        <v>39</v>
      </c>
      <c r="L1" s="1" t="s">
        <v>38</v>
      </c>
    </row>
    <row r="2" spans="1:38" s="3" customFormat="1" x14ac:dyDescent="0.3">
      <c r="A2" s="121" t="s">
        <v>19</v>
      </c>
      <c r="B2" s="3" t="s">
        <v>1</v>
      </c>
      <c r="C2" s="3" t="s">
        <v>3</v>
      </c>
      <c r="D2" s="3" t="s">
        <v>26</v>
      </c>
      <c r="E2" s="7">
        <v>44746</v>
      </c>
      <c r="F2" s="7">
        <v>44385</v>
      </c>
      <c r="G2" s="3">
        <v>26</v>
      </c>
      <c r="H2" s="3">
        <v>193</v>
      </c>
      <c r="I2" s="3">
        <v>90</v>
      </c>
      <c r="J2" s="3">
        <v>175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s="3" customFormat="1" x14ac:dyDescent="0.3">
      <c r="A3" s="121" t="s">
        <v>20</v>
      </c>
      <c r="B3" s="3" t="s">
        <v>5</v>
      </c>
      <c r="C3" s="3" t="s">
        <v>4</v>
      </c>
      <c r="D3" s="3" t="s">
        <v>26</v>
      </c>
      <c r="E3" s="7">
        <v>44847</v>
      </c>
      <c r="F3" s="7">
        <v>44489</v>
      </c>
      <c r="G3" s="3">
        <v>24</v>
      </c>
      <c r="H3" s="3">
        <v>187</v>
      </c>
      <c r="I3" s="3">
        <v>69</v>
      </c>
      <c r="J3" s="3">
        <v>175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3">
      <c r="A4" s="122">
        <v>1</v>
      </c>
      <c r="B4" t="s">
        <v>21</v>
      </c>
      <c r="C4" t="s">
        <v>22</v>
      </c>
      <c r="D4" t="s">
        <v>26</v>
      </c>
      <c r="E4" s="9">
        <v>44876</v>
      </c>
      <c r="F4" s="9">
        <v>44883</v>
      </c>
      <c r="G4">
        <v>28</v>
      </c>
      <c r="H4">
        <v>183</v>
      </c>
      <c r="I4">
        <v>78</v>
      </c>
      <c r="J4">
        <v>175</v>
      </c>
      <c r="K4">
        <v>10</v>
      </c>
      <c r="L4">
        <v>0.5</v>
      </c>
    </row>
    <row r="5" spans="1:38" x14ac:dyDescent="0.3">
      <c r="A5" s="122">
        <v>2</v>
      </c>
      <c r="B5" t="s">
        <v>23</v>
      </c>
      <c r="C5" t="s">
        <v>24</v>
      </c>
      <c r="D5" t="s">
        <v>27</v>
      </c>
      <c r="E5" s="9">
        <v>44879</v>
      </c>
      <c r="F5" s="9">
        <v>44880</v>
      </c>
      <c r="G5">
        <v>27</v>
      </c>
      <c r="H5">
        <v>158</v>
      </c>
      <c r="I5">
        <v>54</v>
      </c>
      <c r="J5">
        <v>170</v>
      </c>
      <c r="K5">
        <v>18</v>
      </c>
      <c r="L5">
        <v>18</v>
      </c>
    </row>
    <row r="6" spans="1:38" x14ac:dyDescent="0.3">
      <c r="A6" s="122">
        <v>3</v>
      </c>
      <c r="B6" t="s">
        <v>73</v>
      </c>
      <c r="C6" t="s">
        <v>72</v>
      </c>
      <c r="D6" t="s">
        <v>27</v>
      </c>
      <c r="E6" s="9">
        <v>44894</v>
      </c>
      <c r="F6" s="9">
        <v>44901</v>
      </c>
      <c r="G6">
        <v>33</v>
      </c>
      <c r="H6">
        <v>163</v>
      </c>
      <c r="I6">
        <v>48</v>
      </c>
      <c r="J6">
        <v>170</v>
      </c>
      <c r="K6">
        <v>16</v>
      </c>
      <c r="L6">
        <v>15</v>
      </c>
    </row>
    <row r="7" spans="1:38" x14ac:dyDescent="0.3">
      <c r="A7" s="123">
        <v>4</v>
      </c>
      <c r="B7" s="3" t="s">
        <v>75</v>
      </c>
      <c r="C7" s="3" t="s">
        <v>76</v>
      </c>
      <c r="D7" s="3" t="s">
        <v>27</v>
      </c>
      <c r="E7" s="7">
        <v>44895</v>
      </c>
      <c r="F7" s="7" t="e">
        <v>#N/A</v>
      </c>
      <c r="G7" s="3">
        <v>24</v>
      </c>
      <c r="H7" s="3">
        <v>163</v>
      </c>
      <c r="I7" s="3">
        <v>52</v>
      </c>
      <c r="J7" s="3">
        <v>175</v>
      </c>
      <c r="K7" s="3">
        <v>14</v>
      </c>
      <c r="L7" s="3">
        <v>5</v>
      </c>
    </row>
    <row r="8" spans="1:38" x14ac:dyDescent="0.3">
      <c r="A8" s="123">
        <v>5</v>
      </c>
      <c r="B8" s="3" t="s">
        <v>75</v>
      </c>
      <c r="C8" s="3" t="s">
        <v>79</v>
      </c>
      <c r="D8" s="3" t="s">
        <v>26</v>
      </c>
      <c r="E8" s="7">
        <v>44896</v>
      </c>
      <c r="F8" s="7" t="e">
        <v>#N/A</v>
      </c>
      <c r="G8" s="3">
        <v>56</v>
      </c>
      <c r="H8" s="3">
        <v>175</v>
      </c>
      <c r="I8" s="3">
        <v>74</v>
      </c>
      <c r="J8" s="3">
        <v>172.5</v>
      </c>
      <c r="K8" s="3"/>
      <c r="L8" s="3"/>
    </row>
    <row r="9" spans="1:38" x14ac:dyDescent="0.3">
      <c r="A9" s="122">
        <v>6</v>
      </c>
      <c r="B9" t="s">
        <v>80</v>
      </c>
      <c r="C9" t="s">
        <v>81</v>
      </c>
      <c r="D9" t="s">
        <v>26</v>
      </c>
      <c r="E9" s="9">
        <v>44896</v>
      </c>
      <c r="F9" s="9">
        <v>44903</v>
      </c>
      <c r="G9">
        <v>34</v>
      </c>
      <c r="H9">
        <v>184</v>
      </c>
      <c r="I9">
        <v>73</v>
      </c>
      <c r="J9">
        <v>175</v>
      </c>
      <c r="K9">
        <v>5</v>
      </c>
      <c r="L9">
        <v>4</v>
      </c>
    </row>
    <row r="10" spans="1:38" x14ac:dyDescent="0.3">
      <c r="A10" s="123">
        <v>7</v>
      </c>
      <c r="B10" s="3" t="s">
        <v>87</v>
      </c>
      <c r="C10" s="3" t="s">
        <v>88</v>
      </c>
      <c r="D10" s="3" t="s">
        <v>26</v>
      </c>
      <c r="E10" s="7">
        <v>44897</v>
      </c>
      <c r="F10" s="7" t="e">
        <v>#N/A</v>
      </c>
      <c r="G10" s="3">
        <v>50</v>
      </c>
      <c r="H10" s="3">
        <v>173</v>
      </c>
      <c r="I10" s="3">
        <v>72</v>
      </c>
      <c r="J10" s="3">
        <v>172.5</v>
      </c>
      <c r="K10" s="3"/>
      <c r="L10" s="3"/>
    </row>
    <row r="11" spans="1:38" x14ac:dyDescent="0.3">
      <c r="A11" s="123">
        <v>8</v>
      </c>
      <c r="B11" s="3" t="s">
        <v>101</v>
      </c>
      <c r="C11" s="3" t="s">
        <v>102</v>
      </c>
      <c r="D11" s="3" t="s">
        <v>26</v>
      </c>
      <c r="E11" s="7">
        <v>44902</v>
      </c>
      <c r="F11" s="7" t="e">
        <v>#N/A</v>
      </c>
      <c r="G11" s="3">
        <v>38</v>
      </c>
      <c r="H11" s="3">
        <v>177</v>
      </c>
      <c r="I11" s="3">
        <v>74</v>
      </c>
      <c r="J11" s="3">
        <v>172.5</v>
      </c>
      <c r="K11" s="3">
        <v>10</v>
      </c>
      <c r="L11" s="3">
        <v>10</v>
      </c>
    </row>
    <row r="12" spans="1:38" x14ac:dyDescent="0.3">
      <c r="A12" s="123">
        <v>9</v>
      </c>
      <c r="B12" s="3" t="s">
        <v>106</v>
      </c>
      <c r="C12" s="3" t="s">
        <v>103</v>
      </c>
      <c r="D12" s="3" t="s">
        <v>26</v>
      </c>
      <c r="E12" s="7">
        <v>44902</v>
      </c>
      <c r="F12" s="7" t="e">
        <v>#N/A</v>
      </c>
      <c r="G12" s="3"/>
      <c r="H12" s="3">
        <v>187</v>
      </c>
      <c r="I12" s="3">
        <v>87</v>
      </c>
      <c r="J12" s="3">
        <v>172.5</v>
      </c>
      <c r="K12" s="3">
        <v>10</v>
      </c>
      <c r="L12" s="3">
        <v>8</v>
      </c>
    </row>
    <row r="13" spans="1:38" x14ac:dyDescent="0.3">
      <c r="A13" s="122">
        <v>10</v>
      </c>
      <c r="B13" t="s">
        <v>109</v>
      </c>
      <c r="C13" t="s">
        <v>108</v>
      </c>
      <c r="D13" t="s">
        <v>26</v>
      </c>
      <c r="E13" s="9">
        <v>44902</v>
      </c>
      <c r="F13" s="9">
        <v>44909</v>
      </c>
      <c r="G13">
        <v>45</v>
      </c>
      <c r="H13">
        <v>183</v>
      </c>
      <c r="I13">
        <v>82</v>
      </c>
      <c r="J13">
        <v>172.5</v>
      </c>
      <c r="K13">
        <v>8</v>
      </c>
      <c r="L13">
        <v>8</v>
      </c>
    </row>
    <row r="14" spans="1:38" x14ac:dyDescent="0.3">
      <c r="A14" s="123">
        <v>11</v>
      </c>
      <c r="B14" s="3" t="s">
        <v>110</v>
      </c>
      <c r="C14" s="3" t="s">
        <v>111</v>
      </c>
      <c r="D14" s="3" t="s">
        <v>26</v>
      </c>
      <c r="E14" s="7">
        <v>44902</v>
      </c>
      <c r="F14" s="7" t="e">
        <v>#N/A</v>
      </c>
      <c r="G14" s="3">
        <v>39</v>
      </c>
      <c r="H14" s="3">
        <v>181</v>
      </c>
      <c r="I14" s="3">
        <v>84</v>
      </c>
      <c r="J14" s="3">
        <v>172.5</v>
      </c>
      <c r="K14" s="3">
        <v>12</v>
      </c>
      <c r="L14" s="3">
        <v>12</v>
      </c>
    </row>
    <row r="15" spans="1:38" x14ac:dyDescent="0.3">
      <c r="A15" s="123">
        <v>12</v>
      </c>
      <c r="B15" s="3" t="s">
        <v>112</v>
      </c>
      <c r="C15" s="3" t="s">
        <v>113</v>
      </c>
      <c r="D15" s="3" t="s">
        <v>27</v>
      </c>
      <c r="E15" s="7">
        <v>44903</v>
      </c>
      <c r="F15" s="7" t="e">
        <v>#N/A</v>
      </c>
      <c r="G15" s="3">
        <v>27</v>
      </c>
      <c r="H15" s="3">
        <v>166</v>
      </c>
      <c r="I15" s="3">
        <v>59</v>
      </c>
      <c r="J15" s="3">
        <v>172.5</v>
      </c>
      <c r="K15" s="3">
        <v>9</v>
      </c>
      <c r="L15" s="3">
        <v>9</v>
      </c>
    </row>
    <row r="16" spans="1:38" x14ac:dyDescent="0.3">
      <c r="A16" s="122">
        <v>13</v>
      </c>
      <c r="B16" t="s">
        <v>119</v>
      </c>
      <c r="C16" t="s">
        <v>120</v>
      </c>
      <c r="D16" t="s">
        <v>26</v>
      </c>
      <c r="E16" s="9">
        <v>44904</v>
      </c>
      <c r="F16" s="9">
        <v>44573</v>
      </c>
      <c r="G16">
        <v>36</v>
      </c>
      <c r="H16">
        <v>179</v>
      </c>
      <c r="I16">
        <v>72</v>
      </c>
      <c r="J16">
        <v>172.5</v>
      </c>
      <c r="K16">
        <v>12</v>
      </c>
      <c r="L16">
        <v>11</v>
      </c>
    </row>
    <row r="17" spans="1:12" x14ac:dyDescent="0.3">
      <c r="A17" s="123">
        <v>14</v>
      </c>
      <c r="B17" s="3" t="s">
        <v>128</v>
      </c>
      <c r="C17" s="3" t="s">
        <v>129</v>
      </c>
      <c r="D17" s="3" t="s">
        <v>26</v>
      </c>
      <c r="E17" s="7">
        <v>44908</v>
      </c>
      <c r="F17" s="7"/>
      <c r="G17" s="3">
        <v>32</v>
      </c>
      <c r="H17" s="3">
        <v>174</v>
      </c>
      <c r="I17" s="3">
        <v>73</v>
      </c>
      <c r="J17" s="3">
        <v>172.5</v>
      </c>
      <c r="K17" s="3"/>
      <c r="L17" s="3"/>
    </row>
    <row r="18" spans="1:12" x14ac:dyDescent="0.3">
      <c r="A18" s="122">
        <v>15</v>
      </c>
      <c r="B18" t="s">
        <v>135</v>
      </c>
      <c r="C18" t="s">
        <v>136</v>
      </c>
      <c r="D18" t="s">
        <v>26</v>
      </c>
      <c r="E18" s="9">
        <v>44910</v>
      </c>
      <c r="F18" s="9">
        <v>44917</v>
      </c>
      <c r="G18">
        <v>30</v>
      </c>
      <c r="H18">
        <v>176</v>
      </c>
      <c r="I18">
        <v>76</v>
      </c>
      <c r="J18">
        <v>175</v>
      </c>
      <c r="K18">
        <v>12</v>
      </c>
      <c r="L18">
        <v>7</v>
      </c>
    </row>
    <row r="19" spans="1:12" x14ac:dyDescent="0.3">
      <c r="A19" s="123">
        <v>16</v>
      </c>
      <c r="B19" s="3" t="s">
        <v>170</v>
      </c>
      <c r="C19" s="3" t="s">
        <v>139</v>
      </c>
      <c r="D19" s="3" t="s">
        <v>26</v>
      </c>
      <c r="E19" s="7">
        <v>44910</v>
      </c>
      <c r="F19" s="7"/>
      <c r="G19" s="3">
        <v>46</v>
      </c>
      <c r="H19" s="3">
        <v>178</v>
      </c>
      <c r="I19" s="3">
        <v>78</v>
      </c>
      <c r="J19" s="3">
        <v>172.5</v>
      </c>
      <c r="K19" s="3"/>
      <c r="L19" s="3"/>
    </row>
    <row r="20" spans="1:12" x14ac:dyDescent="0.3">
      <c r="A20" s="123">
        <v>17</v>
      </c>
      <c r="B20" s="3" t="s">
        <v>137</v>
      </c>
      <c r="C20" s="3" t="s">
        <v>138</v>
      </c>
      <c r="D20" s="3" t="s">
        <v>26</v>
      </c>
      <c r="E20" s="7">
        <v>44910</v>
      </c>
      <c r="F20" s="7"/>
      <c r="G20" s="3">
        <v>45</v>
      </c>
      <c r="H20" s="3">
        <v>183</v>
      </c>
      <c r="I20" s="3">
        <v>84</v>
      </c>
      <c r="J20" s="3">
        <v>172.5</v>
      </c>
      <c r="K20" s="3"/>
      <c r="L20" s="3"/>
    </row>
    <row r="21" spans="1:12" x14ac:dyDescent="0.3">
      <c r="A21" s="123">
        <v>18</v>
      </c>
      <c r="B21" s="3" t="s">
        <v>148</v>
      </c>
      <c r="C21" s="3" t="s">
        <v>147</v>
      </c>
      <c r="D21" s="3" t="s">
        <v>26</v>
      </c>
      <c r="E21" s="7">
        <v>44911</v>
      </c>
      <c r="F21" s="7"/>
      <c r="G21" s="3">
        <v>59</v>
      </c>
      <c r="H21" s="3">
        <v>172</v>
      </c>
      <c r="I21" s="3">
        <v>68</v>
      </c>
      <c r="J21" s="3">
        <v>172.5</v>
      </c>
      <c r="K21" s="3"/>
      <c r="L21" s="3"/>
    </row>
    <row r="22" spans="1:12" x14ac:dyDescent="0.3">
      <c r="A22" s="122">
        <v>19</v>
      </c>
      <c r="B22" t="s">
        <v>164</v>
      </c>
      <c r="C22" t="s">
        <v>165</v>
      </c>
      <c r="D22" t="s">
        <v>26</v>
      </c>
      <c r="E22" s="9">
        <v>44915</v>
      </c>
      <c r="F22" s="9">
        <v>44958</v>
      </c>
      <c r="G22">
        <v>37</v>
      </c>
      <c r="H22">
        <v>176</v>
      </c>
      <c r="I22">
        <v>65</v>
      </c>
      <c r="J22">
        <v>172.5</v>
      </c>
      <c r="K22">
        <v>11</v>
      </c>
      <c r="L22">
        <v>4</v>
      </c>
    </row>
    <row r="23" spans="1:12" x14ac:dyDescent="0.3">
      <c r="A23" s="122">
        <v>20</v>
      </c>
      <c r="B23" t="s">
        <v>172</v>
      </c>
      <c r="C23" t="s">
        <v>173</v>
      </c>
      <c r="D23" t="s">
        <v>26</v>
      </c>
      <c r="E23" s="9">
        <v>44916</v>
      </c>
      <c r="F23" s="9">
        <v>44585</v>
      </c>
      <c r="G23">
        <v>33</v>
      </c>
      <c r="H23">
        <v>186</v>
      </c>
      <c r="I23">
        <v>80</v>
      </c>
      <c r="J23">
        <v>172.5</v>
      </c>
      <c r="K23">
        <v>6</v>
      </c>
      <c r="L23">
        <v>3</v>
      </c>
    </row>
    <row r="24" spans="1:12" x14ac:dyDescent="0.3">
      <c r="A24" s="123">
        <v>21</v>
      </c>
      <c r="B24" s="3" t="s">
        <v>178</v>
      </c>
      <c r="C24" s="3" t="s">
        <v>120</v>
      </c>
      <c r="D24" s="3" t="s">
        <v>26</v>
      </c>
      <c r="E24" s="7">
        <v>44916</v>
      </c>
      <c r="F24" s="7"/>
      <c r="G24" s="3">
        <v>28</v>
      </c>
      <c r="H24" s="3">
        <v>183</v>
      </c>
      <c r="I24" s="3">
        <v>99</v>
      </c>
      <c r="J24" s="3">
        <v>172.5</v>
      </c>
      <c r="K24" s="3"/>
      <c r="L24" s="3"/>
    </row>
    <row r="25" spans="1:12" x14ac:dyDescent="0.3">
      <c r="A25" s="122">
        <v>22</v>
      </c>
      <c r="B25" t="s">
        <v>23</v>
      </c>
      <c r="C25" t="s">
        <v>190</v>
      </c>
      <c r="D25" t="s">
        <v>27</v>
      </c>
      <c r="E25" s="9">
        <v>44564</v>
      </c>
      <c r="F25" s="9">
        <v>44567</v>
      </c>
      <c r="G25">
        <v>24</v>
      </c>
      <c r="H25">
        <v>157</v>
      </c>
      <c r="I25">
        <v>48</v>
      </c>
      <c r="J25">
        <v>170</v>
      </c>
      <c r="K25">
        <v>25</v>
      </c>
    </row>
    <row r="26" spans="1:12" x14ac:dyDescent="0.3">
      <c r="A26" s="122">
        <v>23</v>
      </c>
      <c r="B26" t="s">
        <v>207</v>
      </c>
      <c r="C26" t="s">
        <v>208</v>
      </c>
      <c r="D26" t="s">
        <v>27</v>
      </c>
      <c r="E26" s="9">
        <v>44932</v>
      </c>
      <c r="F26" s="9">
        <v>44570</v>
      </c>
      <c r="G26">
        <v>26</v>
      </c>
      <c r="H26">
        <v>163</v>
      </c>
      <c r="I26">
        <v>60</v>
      </c>
      <c r="J26">
        <v>172.5</v>
      </c>
      <c r="K26">
        <v>11</v>
      </c>
      <c r="L26">
        <v>3.5</v>
      </c>
    </row>
    <row r="27" spans="1:12" x14ac:dyDescent="0.3">
      <c r="A27" s="123">
        <v>24</v>
      </c>
      <c r="B27" s="3" t="s">
        <v>211</v>
      </c>
      <c r="C27" s="3" t="s">
        <v>210</v>
      </c>
      <c r="D27" s="3" t="s">
        <v>27</v>
      </c>
      <c r="E27" s="7">
        <v>44932</v>
      </c>
      <c r="F27" s="7"/>
      <c r="G27" s="3">
        <v>35</v>
      </c>
      <c r="H27" s="3">
        <v>167</v>
      </c>
      <c r="I27" s="3">
        <v>67</v>
      </c>
      <c r="J27" s="3">
        <v>172.5</v>
      </c>
      <c r="K27" s="3"/>
      <c r="L27" s="3"/>
    </row>
    <row r="30" spans="1:12" s="30" customFormat="1" ht="3.3" customHeight="1" x14ac:dyDescent="0.3">
      <c r="E30" s="38"/>
      <c r="F30" s="38"/>
    </row>
    <row r="31" spans="1:12" x14ac:dyDescent="0.3">
      <c r="A31" t="s">
        <v>91</v>
      </c>
      <c r="G31">
        <f>AVERAGE(G2:G27)</f>
        <v>35.28</v>
      </c>
      <c r="H31">
        <f>AVERAGE(H2:H27)</f>
        <v>175.65384615384616</v>
      </c>
      <c r="I31" s="2">
        <f>AVERAGE(I2:I27)</f>
        <v>71.769230769230774</v>
      </c>
      <c r="J31" s="2">
        <f>MEDIAN(J2:J23)</f>
        <v>172.5</v>
      </c>
      <c r="K31" s="2">
        <f>AVERAGE(K2:K23)</f>
        <v>10.928571428571429</v>
      </c>
      <c r="L31" s="2">
        <f>AVERAGE(L2:L23)</f>
        <v>8.1785714285714288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97A8-EE61-4902-B49E-397292D7D18B}">
  <dimension ref="A1:AQ37"/>
  <sheetViews>
    <sheetView zoomScale="70" zoomScaleNormal="70" workbookViewId="0">
      <pane xSplit="3" topLeftCell="F1" activePane="topRight" state="frozen"/>
      <selection pane="topRight" activeCell="A22" sqref="A22:XFD22"/>
    </sheetView>
  </sheetViews>
  <sheetFormatPr baseColWidth="10" defaultRowHeight="15.05" x14ac:dyDescent="0.3"/>
  <cols>
    <col min="1" max="1" width="11" bestFit="1" customWidth="1"/>
    <col min="2" max="2" width="14.44140625" bestFit="1" customWidth="1"/>
    <col min="3" max="3" width="9.33203125" bestFit="1" customWidth="1"/>
    <col min="4" max="4" width="9.6640625" bestFit="1" customWidth="1"/>
    <col min="5" max="6" width="9.88671875" style="9" bestFit="1" customWidth="1"/>
    <col min="7" max="7" width="11.109375" bestFit="1" customWidth="1"/>
    <col min="8" max="8" width="13.6640625" bestFit="1" customWidth="1"/>
    <col min="9" max="9" width="11.109375" bestFit="1" customWidth="1"/>
    <col min="10" max="10" width="14.44140625" bestFit="1" customWidth="1"/>
    <col min="11" max="11" width="8.109375" bestFit="1" customWidth="1"/>
    <col min="12" max="12" width="14.109375" customWidth="1"/>
    <col min="13" max="13" width="10.33203125" bestFit="1" customWidth="1"/>
    <col min="14" max="14" width="26" bestFit="1" customWidth="1"/>
    <col min="15" max="15" width="16.109375" bestFit="1" customWidth="1"/>
    <col min="16" max="16" width="15.21875" bestFit="1" customWidth="1"/>
    <col min="17" max="17" width="6.88671875" bestFit="1" customWidth="1"/>
    <col min="18" max="18" width="18.88671875" bestFit="1" customWidth="1"/>
    <col min="19" max="19" width="10.6640625" bestFit="1" customWidth="1"/>
    <col min="20" max="20" width="19.5546875" bestFit="1" customWidth="1"/>
    <col min="21" max="21" width="6.88671875" bestFit="1" customWidth="1"/>
    <col min="22" max="22" width="10.33203125" bestFit="1" customWidth="1"/>
    <col min="25" max="25" width="7.44140625" bestFit="1" customWidth="1"/>
    <col min="26" max="26" width="124.109375" bestFit="1" customWidth="1"/>
  </cols>
  <sheetData>
    <row r="1" spans="1:43" s="1" customFormat="1" x14ac:dyDescent="0.3">
      <c r="A1" s="1" t="str">
        <f>Probanden!A1</f>
        <v>Probanden</v>
      </c>
      <c r="B1" s="1" t="str">
        <f>Probanden!B1</f>
        <v>Name</v>
      </c>
      <c r="C1" s="1" t="str">
        <f>Probanden!C1</f>
        <v>Vorname</v>
      </c>
      <c r="D1" s="1" t="str">
        <f>Probanden!D1</f>
        <v>Geschlecht</v>
      </c>
      <c r="E1" s="8" t="str">
        <f>Probanden!E1</f>
        <v>Datum_T1</v>
      </c>
      <c r="F1" s="8" t="str">
        <f>Probanden!F1</f>
        <v>Datum_T2</v>
      </c>
      <c r="G1" s="1" t="s">
        <v>9</v>
      </c>
      <c r="H1" s="1" t="s">
        <v>17</v>
      </c>
      <c r="I1" s="1" t="s">
        <v>32</v>
      </c>
      <c r="J1" s="1" t="s">
        <v>18</v>
      </c>
      <c r="K1" s="1" t="s">
        <v>10</v>
      </c>
      <c r="L1" s="1" t="s">
        <v>15</v>
      </c>
      <c r="M1" s="1" t="s">
        <v>16</v>
      </c>
      <c r="N1" s="22" t="s">
        <v>42</v>
      </c>
      <c r="O1" s="1" t="s">
        <v>14</v>
      </c>
      <c r="P1" s="24" t="s">
        <v>43</v>
      </c>
      <c r="Q1" s="1" t="s">
        <v>12</v>
      </c>
      <c r="R1" s="26" t="s">
        <v>44</v>
      </c>
      <c r="S1" s="1" t="s">
        <v>11</v>
      </c>
      <c r="T1" s="27" t="s">
        <v>45</v>
      </c>
      <c r="U1" s="1" t="s">
        <v>13</v>
      </c>
      <c r="V1" s="1" t="s">
        <v>33</v>
      </c>
      <c r="W1" s="1" t="s">
        <v>34</v>
      </c>
      <c r="X1" s="1" t="s">
        <v>41</v>
      </c>
      <c r="Y1" s="1" t="s">
        <v>221</v>
      </c>
      <c r="Z1" s="1" t="s">
        <v>127</v>
      </c>
    </row>
    <row r="2" spans="1:43" x14ac:dyDescent="0.3">
      <c r="A2" s="10" t="str">
        <f>Probanden!A2</f>
        <v>0.1</v>
      </c>
      <c r="B2" s="3" t="str">
        <f>Probanden!B2</f>
        <v>Will</v>
      </c>
      <c r="C2" s="3" t="str">
        <f>Probanden!C2</f>
        <v>Johannes</v>
      </c>
      <c r="D2" s="3" t="str">
        <f>Probanden!D2</f>
        <v>männlich</v>
      </c>
      <c r="E2" s="7">
        <f>Probanden!E2</f>
        <v>44746</v>
      </c>
      <c r="F2" s="7">
        <f>Probanden!F2</f>
        <v>44385</v>
      </c>
      <c r="G2" s="100">
        <v>540</v>
      </c>
      <c r="H2" s="5">
        <f>G2/Probanden!I2</f>
        <v>6</v>
      </c>
      <c r="I2" s="3">
        <v>540</v>
      </c>
      <c r="J2" s="5">
        <f>I2/Probanden!I2</f>
        <v>6</v>
      </c>
      <c r="K2" s="3">
        <v>170</v>
      </c>
      <c r="L2" s="4">
        <v>6.2</v>
      </c>
      <c r="M2" s="5">
        <f>L2/Probanden!I2*1000</f>
        <v>68.888888888888886</v>
      </c>
      <c r="N2" s="34">
        <f>ROUND(P2-(G2*0.075),5)</f>
        <v>319.5</v>
      </c>
      <c r="O2" s="5">
        <f t="shared" ref="O2:O27" si="0">N2/G2*100</f>
        <v>59.166666666666664</v>
      </c>
      <c r="P2" s="23">
        <v>360</v>
      </c>
      <c r="Q2" s="5">
        <f t="shared" ref="Q2:Q27" si="1">P2/G2*100</f>
        <v>66.666666666666657</v>
      </c>
      <c r="R2" s="25">
        <f>MEDIAN(P2,T2)</f>
        <v>390</v>
      </c>
      <c r="S2" s="5">
        <f t="shared" ref="S2:S27" si="2">R2/G2*100</f>
        <v>72.222222222222214</v>
      </c>
      <c r="T2" s="28">
        <v>420</v>
      </c>
      <c r="U2" s="5">
        <f t="shared" ref="U2:U27" si="3">T2/G2*100</f>
        <v>77.777777777777786</v>
      </c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x14ac:dyDescent="0.3">
      <c r="A3" s="10" t="str">
        <f>Probanden!A3</f>
        <v>0.2</v>
      </c>
      <c r="B3" s="3" t="str">
        <f>Probanden!B3</f>
        <v>Hambrecht</v>
      </c>
      <c r="C3" s="3" t="str">
        <f>Probanden!C3</f>
        <v>Niklas</v>
      </c>
      <c r="D3" s="3" t="str">
        <f>Probanden!D3</f>
        <v>männlich</v>
      </c>
      <c r="E3" s="7">
        <f>Probanden!E3</f>
        <v>44847</v>
      </c>
      <c r="F3" s="7">
        <f>Probanden!F3</f>
        <v>44489</v>
      </c>
      <c r="G3" s="100">
        <v>400</v>
      </c>
      <c r="H3" s="5">
        <f>G3/Probanden!I3</f>
        <v>5.7971014492753623</v>
      </c>
      <c r="I3" s="3">
        <v>340</v>
      </c>
      <c r="J3" s="5">
        <f>I3/Probanden!I3</f>
        <v>4.9275362318840576</v>
      </c>
      <c r="K3" s="3">
        <v>180</v>
      </c>
      <c r="L3" s="4">
        <v>4.47</v>
      </c>
      <c r="M3" s="5">
        <f>L3/Probanden!I3*1000</f>
        <v>64.782608695652172</v>
      </c>
      <c r="N3" s="34">
        <f>P3-(G3*0.075)</f>
        <v>210</v>
      </c>
      <c r="O3" s="5">
        <f t="shared" si="0"/>
        <v>52.5</v>
      </c>
      <c r="P3" s="23">
        <v>240</v>
      </c>
      <c r="Q3" s="5">
        <f t="shared" si="1"/>
        <v>60</v>
      </c>
      <c r="R3" s="25">
        <f>MEDIAN(P3,T3)</f>
        <v>260</v>
      </c>
      <c r="S3" s="5">
        <f t="shared" si="2"/>
        <v>65</v>
      </c>
      <c r="T3" s="28">
        <v>280</v>
      </c>
      <c r="U3" s="5">
        <f t="shared" si="3"/>
        <v>70</v>
      </c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3">
      <c r="A4" s="122">
        <f>Probanden!A4</f>
        <v>1</v>
      </c>
      <c r="B4" t="str">
        <f>Probanden!B4</f>
        <v>Degenhart</v>
      </c>
      <c r="C4" t="str">
        <f>Probanden!C4</f>
        <v>Klemens</v>
      </c>
      <c r="D4" t="str">
        <f>Probanden!D4</f>
        <v>männlich</v>
      </c>
      <c r="E4" s="9">
        <f>Probanden!E4</f>
        <v>44876</v>
      </c>
      <c r="F4" s="9">
        <f>Probanden!F4</f>
        <v>44883</v>
      </c>
      <c r="G4" s="35">
        <v>440</v>
      </c>
      <c r="H4" s="2">
        <f>G4/Probanden!I4</f>
        <v>5.6410256410256414</v>
      </c>
      <c r="I4">
        <v>440</v>
      </c>
      <c r="J4" s="2">
        <f>I4/Probanden!I4</f>
        <v>5.6410256410256414</v>
      </c>
      <c r="K4">
        <v>175</v>
      </c>
      <c r="L4" s="32">
        <v>5.6550000000000002</v>
      </c>
      <c r="M4" s="2">
        <f>L4/Probanden!I4*1000</f>
        <v>72.500000000000014</v>
      </c>
      <c r="N4" s="34">
        <f>290</f>
        <v>290</v>
      </c>
      <c r="O4" s="2">
        <f t="shared" si="0"/>
        <v>65.909090909090907</v>
      </c>
      <c r="P4" s="23">
        <v>320</v>
      </c>
      <c r="Q4" s="2">
        <f t="shared" si="1"/>
        <v>72.727272727272734</v>
      </c>
      <c r="R4" s="25">
        <v>350</v>
      </c>
      <c r="S4" s="2">
        <f t="shared" si="2"/>
        <v>79.545454545454547</v>
      </c>
      <c r="T4" s="28">
        <v>370</v>
      </c>
      <c r="U4" s="2">
        <f t="shared" si="3"/>
        <v>84.090909090909093</v>
      </c>
      <c r="V4">
        <v>84</v>
      </c>
      <c r="W4">
        <v>77</v>
      </c>
      <c r="X4">
        <v>792</v>
      </c>
      <c r="Y4" s="2">
        <f>X4/Probanden!I4</f>
        <v>10.153846153846153</v>
      </c>
      <c r="Z4" t="s">
        <v>116</v>
      </c>
    </row>
    <row r="5" spans="1:43" x14ac:dyDescent="0.3">
      <c r="A5" s="122">
        <f>Probanden!A5</f>
        <v>2</v>
      </c>
      <c r="B5" t="str">
        <f>Probanden!B5</f>
        <v>Betz</v>
      </c>
      <c r="C5" t="str">
        <f>Probanden!C5</f>
        <v>Svenja</v>
      </c>
      <c r="D5" t="str">
        <f>Probanden!D5</f>
        <v>weiblich</v>
      </c>
      <c r="E5" s="9">
        <f>Probanden!E5</f>
        <v>44879</v>
      </c>
      <c r="F5" s="9">
        <f>Probanden!F5</f>
        <v>44880</v>
      </c>
      <c r="G5" s="35">
        <v>330</v>
      </c>
      <c r="H5" s="2">
        <f>G5/Probanden!I5</f>
        <v>6.1111111111111107</v>
      </c>
      <c r="I5">
        <v>345</v>
      </c>
      <c r="J5" s="2">
        <f>I5/Probanden!I5</f>
        <v>6.3888888888888893</v>
      </c>
      <c r="K5">
        <v>175</v>
      </c>
      <c r="L5" s="32">
        <v>3.7360000000000002</v>
      </c>
      <c r="M5" s="2">
        <f>L5/Probanden!I5*1000</f>
        <v>69.185185185185176</v>
      </c>
      <c r="N5" s="34">
        <f>P5-(G5*0.075)</f>
        <v>200.25</v>
      </c>
      <c r="O5" s="2">
        <f t="shared" si="0"/>
        <v>60.68181818181818</v>
      </c>
      <c r="P5" s="23">
        <v>225</v>
      </c>
      <c r="Q5" s="2">
        <f t="shared" si="1"/>
        <v>68.181818181818173</v>
      </c>
      <c r="R5" s="25">
        <f t="shared" ref="R5:R24" si="4">MEDIAN(P5,T5)</f>
        <v>255</v>
      </c>
      <c r="S5" s="2">
        <f t="shared" si="2"/>
        <v>77.272727272727266</v>
      </c>
      <c r="T5" s="28">
        <v>285</v>
      </c>
      <c r="U5" s="2">
        <f t="shared" si="3"/>
        <v>86.36363636363636</v>
      </c>
      <c r="V5">
        <v>99</v>
      </c>
      <c r="W5">
        <v>84</v>
      </c>
      <c r="X5">
        <v>641</v>
      </c>
      <c r="Y5" s="2">
        <f>X5/Probanden!I5</f>
        <v>11.87037037037037</v>
      </c>
    </row>
    <row r="6" spans="1:43" x14ac:dyDescent="0.3">
      <c r="A6" s="122">
        <f>Probanden!A6</f>
        <v>3</v>
      </c>
      <c r="B6" t="str">
        <f>Probanden!B6</f>
        <v>Martischewsky</v>
      </c>
      <c r="C6" t="str">
        <f>Probanden!C6</f>
        <v>Dörte</v>
      </c>
      <c r="D6" t="str">
        <f>Probanden!D6</f>
        <v>weiblich</v>
      </c>
      <c r="E6" s="9">
        <f>Probanden!E6</f>
        <v>44894</v>
      </c>
      <c r="F6" s="9">
        <v>44901</v>
      </c>
      <c r="G6" s="35">
        <v>300</v>
      </c>
      <c r="H6" s="2">
        <f>G6/Probanden!I6</f>
        <v>6.25</v>
      </c>
      <c r="I6">
        <v>270</v>
      </c>
      <c r="J6" s="2">
        <f>I6/Probanden!I6</f>
        <v>5.625</v>
      </c>
      <c r="K6">
        <v>165</v>
      </c>
      <c r="L6" s="32">
        <v>3.6040000000000001</v>
      </c>
      <c r="M6" s="2">
        <f>L6/Probanden!I6*1000</f>
        <v>75.083333333333329</v>
      </c>
      <c r="N6" s="34">
        <f>180</f>
        <v>180</v>
      </c>
      <c r="O6" s="2">
        <f t="shared" si="0"/>
        <v>60</v>
      </c>
      <c r="P6" s="23">
        <v>200</v>
      </c>
      <c r="Q6" s="2">
        <f t="shared" si="1"/>
        <v>66.666666666666657</v>
      </c>
      <c r="R6" s="25">
        <f>225</f>
        <v>225</v>
      </c>
      <c r="S6" s="2">
        <f t="shared" si="2"/>
        <v>75</v>
      </c>
      <c r="T6" s="28">
        <v>240</v>
      </c>
      <c r="U6" s="2">
        <f t="shared" si="3"/>
        <v>80</v>
      </c>
      <c r="V6">
        <v>96</v>
      </c>
      <c r="W6">
        <v>90</v>
      </c>
      <c r="X6">
        <v>673</v>
      </c>
      <c r="Y6" s="2">
        <f>X6/Probanden!I6</f>
        <v>14.020833333333334</v>
      </c>
      <c r="Z6" t="s">
        <v>100</v>
      </c>
    </row>
    <row r="7" spans="1:43" x14ac:dyDescent="0.3">
      <c r="A7" s="123">
        <f>Probanden!A7</f>
        <v>4</v>
      </c>
      <c r="B7" s="3" t="str">
        <f>Probanden!B7</f>
        <v>Müller</v>
      </c>
      <c r="C7" s="3" t="str">
        <f>Probanden!C7</f>
        <v>Antonia</v>
      </c>
      <c r="D7" s="3" t="str">
        <f>Probanden!D7</f>
        <v>weiblich</v>
      </c>
      <c r="E7" s="7">
        <f>Probanden!E7</f>
        <v>44895</v>
      </c>
      <c r="F7" s="7"/>
      <c r="G7" s="100">
        <v>255</v>
      </c>
      <c r="H7" s="5">
        <f>G7/Probanden!I7</f>
        <v>4.9038461538461542</v>
      </c>
      <c r="I7" s="3">
        <v>240</v>
      </c>
      <c r="J7" s="5">
        <f>I7/Probanden!I7</f>
        <v>4.615384615384615</v>
      </c>
      <c r="K7" s="3">
        <v>155</v>
      </c>
      <c r="L7" s="62" t="s">
        <v>78</v>
      </c>
      <c r="M7" s="5">
        <f>L7/Probanden!I7*1000</f>
        <v>60.942307692307693</v>
      </c>
      <c r="N7" s="34">
        <f>P7-(G7*0.075)</f>
        <v>160.875</v>
      </c>
      <c r="O7" s="5">
        <f t="shared" si="0"/>
        <v>63.088235294117645</v>
      </c>
      <c r="P7" s="23">
        <v>180</v>
      </c>
      <c r="Q7" s="5">
        <f t="shared" si="1"/>
        <v>70.588235294117652</v>
      </c>
      <c r="R7" s="25">
        <f t="shared" si="4"/>
        <v>195</v>
      </c>
      <c r="S7" s="5">
        <f t="shared" si="2"/>
        <v>76.470588235294116</v>
      </c>
      <c r="T7" s="28">
        <v>210</v>
      </c>
      <c r="U7" s="5">
        <f t="shared" si="3"/>
        <v>82.35294117647058</v>
      </c>
      <c r="V7" s="3">
        <v>97</v>
      </c>
      <c r="W7" s="3">
        <v>96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3">
      <c r="A8" s="123">
        <f>Probanden!A8</f>
        <v>5</v>
      </c>
      <c r="B8" s="3" t="str">
        <f>Probanden!B8</f>
        <v>Müller</v>
      </c>
      <c r="C8" s="3" t="str">
        <f>Probanden!C8</f>
        <v>Henrik</v>
      </c>
      <c r="D8" s="3" t="str">
        <f>Probanden!D8</f>
        <v>männlich</v>
      </c>
      <c r="E8" s="7">
        <f>Probanden!E8</f>
        <v>44896</v>
      </c>
      <c r="F8" s="7"/>
      <c r="G8" s="100">
        <v>380</v>
      </c>
      <c r="H8" s="5">
        <f>G8/Probanden!I8</f>
        <v>5.1351351351351351</v>
      </c>
      <c r="I8" s="3">
        <v>340</v>
      </c>
      <c r="J8" s="5">
        <f>I8/Probanden!I8</f>
        <v>4.5945945945945947</v>
      </c>
      <c r="K8" s="3">
        <v>155</v>
      </c>
      <c r="L8" s="62" t="s">
        <v>84</v>
      </c>
      <c r="M8" s="5">
        <f>L8/Probanden!I8*1000</f>
        <v>54.864864864864856</v>
      </c>
      <c r="N8" s="34">
        <f>P8-(G8*0.075)</f>
        <v>211.5</v>
      </c>
      <c r="O8" s="5">
        <f t="shared" si="0"/>
        <v>55.65789473684211</v>
      </c>
      <c r="P8" s="23">
        <v>240</v>
      </c>
      <c r="Q8" s="5">
        <f t="shared" si="1"/>
        <v>63.157894736842103</v>
      </c>
      <c r="R8" s="25">
        <f t="shared" si="4"/>
        <v>260</v>
      </c>
      <c r="S8" s="5">
        <f t="shared" si="2"/>
        <v>68.421052631578945</v>
      </c>
      <c r="T8" s="28">
        <v>280</v>
      </c>
      <c r="U8" s="5">
        <f t="shared" si="3"/>
        <v>73.68421052631578</v>
      </c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3">
      <c r="A9" s="122">
        <f>Probanden!A9</f>
        <v>6</v>
      </c>
      <c r="B9" t="str">
        <f>Probanden!B9</f>
        <v>Kästner</v>
      </c>
      <c r="C9" t="str">
        <f>Probanden!C9</f>
        <v>Richard</v>
      </c>
      <c r="D9" t="str">
        <f>Probanden!D9</f>
        <v>männlich</v>
      </c>
      <c r="E9" s="9">
        <f>Probanden!E9</f>
        <v>44896</v>
      </c>
      <c r="F9" s="9">
        <v>44903</v>
      </c>
      <c r="G9" s="35">
        <v>440</v>
      </c>
      <c r="H9" s="2">
        <f>G9/Probanden!I9</f>
        <v>6.0273972602739727</v>
      </c>
      <c r="I9">
        <v>400</v>
      </c>
      <c r="J9" s="2">
        <f>I9/Probanden!I9</f>
        <v>5.4794520547945202</v>
      </c>
      <c r="K9">
        <v>185</v>
      </c>
      <c r="L9" s="63" t="s">
        <v>86</v>
      </c>
      <c r="M9" s="2">
        <f>L9/Probanden!I9*1000</f>
        <v>67.753424657534239</v>
      </c>
      <c r="N9" s="34">
        <f>280</f>
        <v>280</v>
      </c>
      <c r="O9" s="2">
        <f t="shared" si="0"/>
        <v>63.636363636363633</v>
      </c>
      <c r="P9" s="23">
        <v>305</v>
      </c>
      <c r="Q9" s="2">
        <f t="shared" si="1"/>
        <v>69.318181818181827</v>
      </c>
      <c r="R9" s="25">
        <v>325</v>
      </c>
      <c r="S9" s="2">
        <f t="shared" si="2"/>
        <v>73.86363636363636</v>
      </c>
      <c r="T9" s="28">
        <v>360</v>
      </c>
      <c r="U9" s="2">
        <f t="shared" si="3"/>
        <v>81.818181818181827</v>
      </c>
      <c r="V9" s="33">
        <v>79</v>
      </c>
      <c r="W9">
        <v>59</v>
      </c>
      <c r="X9">
        <v>730</v>
      </c>
      <c r="Y9" s="2">
        <f>X9/Probanden!I9</f>
        <v>10</v>
      </c>
      <c r="Z9" t="s">
        <v>117</v>
      </c>
    </row>
    <row r="10" spans="1:43" s="56" customFormat="1" x14ac:dyDescent="0.3">
      <c r="A10" s="123">
        <f>Probanden!A10</f>
        <v>7</v>
      </c>
      <c r="B10" s="3" t="str">
        <f>Probanden!B10</f>
        <v>Hanke</v>
      </c>
      <c r="C10" s="3" t="str">
        <f>Probanden!C10</f>
        <v>Uwe</v>
      </c>
      <c r="D10" s="3" t="str">
        <f>Probanden!D10</f>
        <v>männlich</v>
      </c>
      <c r="E10" s="7">
        <f>Probanden!E10</f>
        <v>44897</v>
      </c>
      <c r="F10" s="7"/>
      <c r="G10" s="100">
        <v>300</v>
      </c>
      <c r="H10" s="5">
        <f>G10/Probanden!I10</f>
        <v>4.166666666666667</v>
      </c>
      <c r="I10" s="3">
        <v>280</v>
      </c>
      <c r="J10" s="5">
        <f>I10/Probanden!I10</f>
        <v>3.8888888888888888</v>
      </c>
      <c r="K10" s="3">
        <v>155</v>
      </c>
      <c r="L10" s="62" t="s">
        <v>89</v>
      </c>
      <c r="M10" s="5">
        <f>L10/Probanden!I10*1000</f>
        <v>41.916666666666664</v>
      </c>
      <c r="N10" s="34">
        <f t="shared" ref="N10:N20" si="5">P10-(G10*0.075)</f>
        <v>197.5</v>
      </c>
      <c r="O10" s="5">
        <f t="shared" si="0"/>
        <v>65.833333333333329</v>
      </c>
      <c r="P10" s="23">
        <v>220</v>
      </c>
      <c r="Q10" s="5">
        <f t="shared" si="1"/>
        <v>73.333333333333329</v>
      </c>
      <c r="R10" s="25">
        <f t="shared" si="4"/>
        <v>240</v>
      </c>
      <c r="S10" s="5">
        <f t="shared" si="2"/>
        <v>80</v>
      </c>
      <c r="T10" s="28">
        <v>260</v>
      </c>
      <c r="U10" s="5">
        <f t="shared" si="3"/>
        <v>86.666666666666671</v>
      </c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3">
      <c r="A11" s="123">
        <f>Probanden!A11</f>
        <v>8</v>
      </c>
      <c r="B11" s="3" t="str">
        <f>Probanden!B11</f>
        <v>Eulitz</v>
      </c>
      <c r="C11" s="3" t="str">
        <f>Probanden!C11</f>
        <v>Gabriel</v>
      </c>
      <c r="D11" s="3" t="str">
        <f>Probanden!D11</f>
        <v>männlich</v>
      </c>
      <c r="E11" s="7">
        <f>Probanden!E11</f>
        <v>44902</v>
      </c>
      <c r="F11" s="7"/>
      <c r="G11" s="100">
        <v>380</v>
      </c>
      <c r="H11" s="5">
        <f>G11/Probanden!I11</f>
        <v>5.1351351351351351</v>
      </c>
      <c r="I11" s="3">
        <v>320</v>
      </c>
      <c r="J11" s="5">
        <f>I11/Probanden!I11</f>
        <v>4.3243243243243246</v>
      </c>
      <c r="K11" s="3">
        <v>175</v>
      </c>
      <c r="L11" s="62" t="s">
        <v>123</v>
      </c>
      <c r="M11" s="5">
        <f>L11/Probanden!I11*1000</f>
        <v>61.554054054054049</v>
      </c>
      <c r="N11" s="34">
        <f t="shared" si="5"/>
        <v>231.5</v>
      </c>
      <c r="O11" s="5">
        <f t="shared" si="0"/>
        <v>60.921052631578945</v>
      </c>
      <c r="P11" s="23">
        <v>260</v>
      </c>
      <c r="Q11" s="5">
        <f t="shared" si="1"/>
        <v>68.421052631578945</v>
      </c>
      <c r="R11" s="25">
        <f t="shared" si="4"/>
        <v>280</v>
      </c>
      <c r="S11" s="5">
        <f t="shared" si="2"/>
        <v>73.68421052631578</v>
      </c>
      <c r="T11" s="28">
        <v>300</v>
      </c>
      <c r="U11" s="5">
        <f t="shared" si="3"/>
        <v>78.94736842105263</v>
      </c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3">
      <c r="A12" s="123">
        <f>Probanden!A12</f>
        <v>9</v>
      </c>
      <c r="B12" s="3" t="str">
        <f>Probanden!B12</f>
        <v>Tschernie</v>
      </c>
      <c r="C12" s="3" t="str">
        <f>Probanden!C12</f>
        <v>Julian</v>
      </c>
      <c r="D12" s="3" t="str">
        <f>Probanden!D12</f>
        <v>männlich</v>
      </c>
      <c r="E12" s="7">
        <f>Probanden!E12</f>
        <v>44902</v>
      </c>
      <c r="F12" s="7"/>
      <c r="G12" s="100">
        <v>440</v>
      </c>
      <c r="H12" s="5">
        <f>G12/Probanden!I12</f>
        <v>5.0574712643678161</v>
      </c>
      <c r="I12" s="3">
        <v>400</v>
      </c>
      <c r="J12" s="5">
        <f>I12/Probanden!I12</f>
        <v>4.5977011494252871</v>
      </c>
      <c r="K12" s="3">
        <v>180</v>
      </c>
      <c r="L12" s="62" t="s">
        <v>124</v>
      </c>
      <c r="M12" s="5">
        <f>L12/Probanden!I12*1000</f>
        <v>63.287356321839084</v>
      </c>
      <c r="N12" s="34">
        <f t="shared" si="5"/>
        <v>267</v>
      </c>
      <c r="O12" s="5">
        <f t="shared" si="0"/>
        <v>60.68181818181818</v>
      </c>
      <c r="P12" s="23">
        <v>300</v>
      </c>
      <c r="Q12" s="5">
        <f t="shared" si="1"/>
        <v>68.181818181818173</v>
      </c>
      <c r="R12" s="25">
        <f t="shared" si="4"/>
        <v>340</v>
      </c>
      <c r="S12" s="5">
        <f t="shared" si="2"/>
        <v>77.272727272727266</v>
      </c>
      <c r="T12" s="28">
        <v>380</v>
      </c>
      <c r="U12" s="5">
        <f t="shared" si="3"/>
        <v>86.36363636363636</v>
      </c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3">
      <c r="A13" s="122">
        <f>Probanden!A13</f>
        <v>10</v>
      </c>
      <c r="B13" t="str">
        <f>Probanden!B13</f>
        <v>Bosniatzki</v>
      </c>
      <c r="C13" t="str">
        <f>Probanden!C13</f>
        <v>Marek</v>
      </c>
      <c r="D13" t="str">
        <f>Probanden!D13</f>
        <v>männlich</v>
      </c>
      <c r="E13" s="9">
        <f>Probanden!E13</f>
        <v>44902</v>
      </c>
      <c r="F13" s="9">
        <v>44909</v>
      </c>
      <c r="G13" s="35">
        <v>500</v>
      </c>
      <c r="H13" s="2">
        <f>G13/Probanden!I13</f>
        <v>6.0975609756097562</v>
      </c>
      <c r="I13">
        <v>500</v>
      </c>
      <c r="J13" s="2">
        <f>I13/Probanden!I13</f>
        <v>6.0975609756097562</v>
      </c>
      <c r="K13">
        <v>195</v>
      </c>
      <c r="L13" s="63" t="s">
        <v>125</v>
      </c>
      <c r="M13" s="2">
        <f>L13/Probanden!I13*1000</f>
        <v>75.378048780487802</v>
      </c>
      <c r="N13" s="34">
        <f>325</f>
        <v>325</v>
      </c>
      <c r="O13" s="2">
        <f t="shared" si="0"/>
        <v>65</v>
      </c>
      <c r="P13" s="23">
        <v>380</v>
      </c>
      <c r="Q13" s="2">
        <f t="shared" si="1"/>
        <v>76</v>
      </c>
      <c r="R13" s="25">
        <f>410</f>
        <v>410</v>
      </c>
      <c r="S13" s="2">
        <f t="shared" si="2"/>
        <v>82</v>
      </c>
      <c r="T13" s="28">
        <v>435</v>
      </c>
      <c r="U13" s="2">
        <f t="shared" si="3"/>
        <v>87</v>
      </c>
      <c r="V13">
        <v>92</v>
      </c>
      <c r="W13">
        <v>62</v>
      </c>
      <c r="X13">
        <v>905</v>
      </c>
      <c r="Y13" s="2">
        <f>X13/Probanden!I13</f>
        <v>11.036585365853659</v>
      </c>
      <c r="Z13" t="s">
        <v>134</v>
      </c>
    </row>
    <row r="14" spans="1:43" x14ac:dyDescent="0.3">
      <c r="A14" s="123">
        <f>Probanden!A14</f>
        <v>11</v>
      </c>
      <c r="B14" s="3" t="str">
        <f>Probanden!B14</f>
        <v>Heinrich</v>
      </c>
      <c r="C14" s="3" t="str">
        <f>Probanden!C14</f>
        <v>Erik</v>
      </c>
      <c r="D14" s="3" t="str">
        <f>Probanden!D14</f>
        <v>männlich</v>
      </c>
      <c r="E14" s="7">
        <f>Probanden!E14</f>
        <v>44902</v>
      </c>
      <c r="F14" s="7"/>
      <c r="G14" s="100">
        <v>380</v>
      </c>
      <c r="H14" s="5">
        <f>G14/Probanden!I14</f>
        <v>4.5238095238095237</v>
      </c>
      <c r="I14" s="3">
        <v>320</v>
      </c>
      <c r="J14" s="5">
        <f>I14/Probanden!I14</f>
        <v>3.8095238095238093</v>
      </c>
      <c r="K14" s="3">
        <v>170</v>
      </c>
      <c r="L14" s="62" t="s">
        <v>132</v>
      </c>
      <c r="M14" s="5">
        <f>L14/Probanden!I14*1000</f>
        <v>51.535714285714285</v>
      </c>
      <c r="N14" s="34">
        <f t="shared" si="5"/>
        <v>291.5</v>
      </c>
      <c r="O14" s="5">
        <f t="shared" si="0"/>
        <v>76.71052631578948</v>
      </c>
      <c r="P14" s="23">
        <v>320</v>
      </c>
      <c r="Q14" s="5">
        <f t="shared" si="1"/>
        <v>84.210526315789465</v>
      </c>
      <c r="R14" s="25">
        <f t="shared" si="4"/>
        <v>330</v>
      </c>
      <c r="S14" s="5">
        <f t="shared" si="2"/>
        <v>86.842105263157904</v>
      </c>
      <c r="T14" s="28">
        <v>340</v>
      </c>
      <c r="U14" s="5">
        <f t="shared" si="3"/>
        <v>89.473684210526315</v>
      </c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3">
      <c r="A15" s="123">
        <f>Probanden!A15</f>
        <v>12</v>
      </c>
      <c r="B15" s="3" t="str">
        <f>Probanden!B15</f>
        <v>Knaul</v>
      </c>
      <c r="C15" s="3" t="str">
        <f>Probanden!C15</f>
        <v>Selina</v>
      </c>
      <c r="D15" s="3" t="str">
        <f>Probanden!D15</f>
        <v>weiblich</v>
      </c>
      <c r="E15" s="7">
        <f>Probanden!E15</f>
        <v>44903</v>
      </c>
      <c r="F15" s="7"/>
      <c r="G15" s="100">
        <v>285</v>
      </c>
      <c r="H15" s="5">
        <f>G15/Probanden!I15</f>
        <v>4.8305084745762707</v>
      </c>
      <c r="I15" s="3">
        <v>225</v>
      </c>
      <c r="J15" s="5">
        <f>I15/Probanden!I15</f>
        <v>3.8135593220338984</v>
      </c>
      <c r="K15" s="3">
        <v>165</v>
      </c>
      <c r="L15" s="62" t="s">
        <v>126</v>
      </c>
      <c r="M15" s="5">
        <f>L15/Probanden!I15*1000</f>
        <v>53.593220338983045</v>
      </c>
      <c r="N15" s="34">
        <f t="shared" si="5"/>
        <v>173.625</v>
      </c>
      <c r="O15" s="5">
        <f t="shared" si="0"/>
        <v>60.921052631578945</v>
      </c>
      <c r="P15" s="23">
        <v>195</v>
      </c>
      <c r="Q15" s="5">
        <f t="shared" si="1"/>
        <v>68.421052631578945</v>
      </c>
      <c r="R15" s="25">
        <f t="shared" si="4"/>
        <v>210</v>
      </c>
      <c r="S15" s="5">
        <f t="shared" si="2"/>
        <v>73.68421052631578</v>
      </c>
      <c r="T15" s="28">
        <v>225</v>
      </c>
      <c r="U15" s="5">
        <f t="shared" si="3"/>
        <v>78.94736842105263</v>
      </c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</row>
    <row r="16" spans="1:43" x14ac:dyDescent="0.3">
      <c r="A16" s="122">
        <f>Probanden!A16</f>
        <v>13</v>
      </c>
      <c r="B16" t="str">
        <f>Probanden!B16</f>
        <v>Gebhardt</v>
      </c>
      <c r="C16" t="str">
        <f>Probanden!C16</f>
        <v>Tobias</v>
      </c>
      <c r="D16" t="str">
        <f>Probanden!D16</f>
        <v>männlich</v>
      </c>
      <c r="E16" s="9">
        <f>Probanden!E16</f>
        <v>44904</v>
      </c>
      <c r="F16" s="9">
        <v>44573</v>
      </c>
      <c r="G16" s="35">
        <v>460</v>
      </c>
      <c r="H16" s="2">
        <f>G16/Probanden!I16</f>
        <v>6.3888888888888893</v>
      </c>
      <c r="I16">
        <v>440</v>
      </c>
      <c r="J16" s="2">
        <f>I16/Probanden!I16</f>
        <v>6.1111111111111107</v>
      </c>
      <c r="K16">
        <v>190</v>
      </c>
      <c r="L16" s="63" t="s">
        <v>131</v>
      </c>
      <c r="M16" s="2">
        <f>L16/Probanden!I16*1000</f>
        <v>72.000000000000014</v>
      </c>
      <c r="N16" s="34">
        <v>305</v>
      </c>
      <c r="O16" s="2">
        <f t="shared" si="0"/>
        <v>66.304347826086953</v>
      </c>
      <c r="P16" s="23">
        <v>335</v>
      </c>
      <c r="Q16" s="2">
        <f t="shared" si="1"/>
        <v>72.826086956521735</v>
      </c>
      <c r="R16" s="25">
        <v>360</v>
      </c>
      <c r="S16" s="2">
        <f t="shared" si="2"/>
        <v>78.260869565217391</v>
      </c>
      <c r="T16" s="28">
        <v>380</v>
      </c>
      <c r="U16" s="2">
        <f t="shared" si="3"/>
        <v>82.608695652173907</v>
      </c>
      <c r="V16">
        <v>100</v>
      </c>
      <c r="W16">
        <v>76</v>
      </c>
      <c r="X16">
        <v>851</v>
      </c>
      <c r="Y16" s="2">
        <f>X16/Probanden!I16</f>
        <v>11.819444444444445</v>
      </c>
      <c r="Z16" t="s">
        <v>224</v>
      </c>
    </row>
    <row r="17" spans="1:43" x14ac:dyDescent="0.3">
      <c r="A17" s="123">
        <f>Probanden!A17</f>
        <v>14</v>
      </c>
      <c r="B17" s="3" t="str">
        <f>Probanden!B17</f>
        <v>Koch</v>
      </c>
      <c r="C17" s="3" t="str">
        <f>Probanden!C17</f>
        <v>Theo</v>
      </c>
      <c r="D17" s="3" t="str">
        <f>Probanden!D17</f>
        <v>männlich</v>
      </c>
      <c r="E17" s="7">
        <f>Probanden!E17</f>
        <v>44908</v>
      </c>
      <c r="F17" s="7"/>
      <c r="G17" s="100">
        <v>400</v>
      </c>
      <c r="H17" s="5">
        <f>G17/Probanden!I17</f>
        <v>5.4794520547945202</v>
      </c>
      <c r="I17" s="3">
        <v>400</v>
      </c>
      <c r="J17" s="5">
        <f>I17/Probanden!I17</f>
        <v>5.4794520547945202</v>
      </c>
      <c r="K17" s="3">
        <v>150</v>
      </c>
      <c r="L17" s="62" t="s">
        <v>130</v>
      </c>
      <c r="M17" s="5">
        <f>L17/Probanden!I17*1000</f>
        <v>64.547945205479451</v>
      </c>
      <c r="N17" s="34">
        <f t="shared" si="5"/>
        <v>255</v>
      </c>
      <c r="O17" s="5">
        <f t="shared" si="0"/>
        <v>63.749999999999993</v>
      </c>
      <c r="P17" s="23">
        <v>285</v>
      </c>
      <c r="Q17" s="5">
        <f t="shared" si="1"/>
        <v>71.25</v>
      </c>
      <c r="R17" s="25">
        <f t="shared" si="4"/>
        <v>304</v>
      </c>
      <c r="S17" s="5">
        <f t="shared" si="2"/>
        <v>76</v>
      </c>
      <c r="T17" s="28">
        <v>323</v>
      </c>
      <c r="U17" s="5">
        <f t="shared" si="3"/>
        <v>80.75</v>
      </c>
      <c r="V17" s="10" t="s">
        <v>142</v>
      </c>
      <c r="W17" s="3">
        <v>69</v>
      </c>
      <c r="X17" s="3"/>
      <c r="Y17" s="3"/>
      <c r="Z17" s="3" t="s">
        <v>177</v>
      </c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3">
      <c r="A18" s="122">
        <f>Probanden!A18</f>
        <v>15</v>
      </c>
      <c r="B18" t="str">
        <f>Probanden!B18</f>
        <v>Wolf</v>
      </c>
      <c r="C18" t="str">
        <f>Probanden!C18</f>
        <v>Paul</v>
      </c>
      <c r="D18" t="str">
        <f>Probanden!D18</f>
        <v>männlich</v>
      </c>
      <c r="E18" s="9">
        <f>Probanden!E18</f>
        <v>44910</v>
      </c>
      <c r="F18" s="9">
        <v>44917</v>
      </c>
      <c r="G18" s="35">
        <v>460</v>
      </c>
      <c r="H18" s="2">
        <f>G18/Probanden!I18</f>
        <v>6.0526315789473681</v>
      </c>
      <c r="I18">
        <v>400</v>
      </c>
      <c r="J18" s="2">
        <f>I18/Probanden!I18</f>
        <v>5.2631578947368425</v>
      </c>
      <c r="K18">
        <v>205</v>
      </c>
      <c r="L18" s="63" t="s">
        <v>141</v>
      </c>
      <c r="M18" s="2">
        <f>L18/Probanden!I18*1000</f>
        <v>70.078947368421041</v>
      </c>
      <c r="N18" s="34">
        <f t="shared" si="5"/>
        <v>270.5</v>
      </c>
      <c r="O18" s="2">
        <f t="shared" si="0"/>
        <v>58.804347826086953</v>
      </c>
      <c r="P18" s="23">
        <v>305</v>
      </c>
      <c r="Q18" s="2">
        <f t="shared" si="1"/>
        <v>66.304347826086953</v>
      </c>
      <c r="R18" s="25">
        <f t="shared" si="4"/>
        <v>332.5</v>
      </c>
      <c r="S18" s="2">
        <f t="shared" si="2"/>
        <v>72.282608695652172</v>
      </c>
      <c r="T18" s="28">
        <v>360</v>
      </c>
      <c r="U18" s="2">
        <f t="shared" si="3"/>
        <v>78.260869565217391</v>
      </c>
      <c r="V18">
        <v>95</v>
      </c>
      <c r="W18">
        <v>67</v>
      </c>
      <c r="X18">
        <v>881</v>
      </c>
      <c r="Y18" s="2">
        <f>X18/Probanden!I18</f>
        <v>11.592105263157896</v>
      </c>
      <c r="Z18" t="s">
        <v>237</v>
      </c>
    </row>
    <row r="19" spans="1:43" x14ac:dyDescent="0.3">
      <c r="A19" s="123">
        <f>Probanden!A19</f>
        <v>16</v>
      </c>
      <c r="B19" s="3" t="str">
        <f>Probanden!B19</f>
        <v>Grobluber</v>
      </c>
      <c r="C19" s="3" t="str">
        <f>Probanden!C19</f>
        <v>Marko</v>
      </c>
      <c r="D19" s="3" t="str">
        <f>Probanden!D19</f>
        <v>männlich</v>
      </c>
      <c r="E19" s="7">
        <f>Probanden!E19</f>
        <v>44910</v>
      </c>
      <c r="F19" s="7"/>
      <c r="G19" s="100">
        <v>420</v>
      </c>
      <c r="H19" s="5">
        <f>G19/Probanden!I19</f>
        <v>5.384615384615385</v>
      </c>
      <c r="I19" s="3">
        <v>420</v>
      </c>
      <c r="J19" s="5">
        <f>I19/Probanden!I19</f>
        <v>5.384615384615385</v>
      </c>
      <c r="K19" s="3">
        <v>195</v>
      </c>
      <c r="L19" s="62" t="s">
        <v>149</v>
      </c>
      <c r="M19" s="5">
        <f>L19/Probanden!I19*1000</f>
        <v>59.474358974358978</v>
      </c>
      <c r="N19" s="34">
        <f t="shared" si="5"/>
        <v>268.5</v>
      </c>
      <c r="O19" s="5">
        <f t="shared" si="0"/>
        <v>63.928571428571423</v>
      </c>
      <c r="P19" s="23">
        <v>300</v>
      </c>
      <c r="Q19" s="5">
        <f t="shared" si="1"/>
        <v>71.428571428571431</v>
      </c>
      <c r="R19" s="25">
        <f t="shared" si="4"/>
        <v>320</v>
      </c>
      <c r="S19" s="5">
        <f t="shared" si="2"/>
        <v>76.19047619047619</v>
      </c>
      <c r="T19" s="28">
        <v>340</v>
      </c>
      <c r="U19" s="5">
        <f t="shared" si="3"/>
        <v>80.952380952380949</v>
      </c>
      <c r="V19" s="3"/>
      <c r="W19" s="3"/>
      <c r="X19" s="3"/>
      <c r="Y19" s="3"/>
      <c r="Z19" s="3"/>
      <c r="AA19" s="5"/>
      <c r="AB19" s="3"/>
      <c r="AC19" s="3"/>
      <c r="AD19" s="3"/>
      <c r="AE19" s="3"/>
      <c r="AF19" s="5"/>
      <c r="AG19" s="3"/>
      <c r="AH19" s="3"/>
      <c r="AI19" s="3"/>
      <c r="AJ19" s="3"/>
      <c r="AK19" s="5"/>
      <c r="AL19" s="3"/>
      <c r="AM19" s="3"/>
      <c r="AN19" s="3"/>
      <c r="AO19" s="3"/>
      <c r="AP19" s="5"/>
      <c r="AQ19" s="3"/>
    </row>
    <row r="20" spans="1:43" x14ac:dyDescent="0.3">
      <c r="A20" s="123">
        <f>Probanden!A20</f>
        <v>17</v>
      </c>
      <c r="B20" s="3" t="str">
        <f>Probanden!B20</f>
        <v>Mattitzer</v>
      </c>
      <c r="C20" s="3" t="str">
        <f>Probanden!C20</f>
        <v>Silvio</v>
      </c>
      <c r="D20" s="3" t="str">
        <f>Probanden!D20</f>
        <v>männlich</v>
      </c>
      <c r="E20" s="7">
        <f>Probanden!E20</f>
        <v>44910</v>
      </c>
      <c r="F20" s="7"/>
      <c r="G20" s="100">
        <v>420</v>
      </c>
      <c r="H20" s="5">
        <f>G20/Probanden!I20</f>
        <v>5</v>
      </c>
      <c r="I20" s="3">
        <v>320</v>
      </c>
      <c r="J20" s="5">
        <f>I20/Probanden!I20</f>
        <v>3.8095238095238093</v>
      </c>
      <c r="K20" s="3">
        <v>175</v>
      </c>
      <c r="L20" s="4">
        <v>4.8402222222222218</v>
      </c>
      <c r="M20" s="5">
        <f>L20/Probanden!I20*1000</f>
        <v>57.621693121693113</v>
      </c>
      <c r="N20" s="34">
        <f t="shared" si="5"/>
        <v>268.5</v>
      </c>
      <c r="O20" s="5">
        <f t="shared" si="0"/>
        <v>63.928571428571423</v>
      </c>
      <c r="P20" s="23">
        <v>300</v>
      </c>
      <c r="Q20" s="5">
        <f t="shared" si="1"/>
        <v>71.428571428571431</v>
      </c>
      <c r="R20" s="25">
        <f t="shared" si="4"/>
        <v>310</v>
      </c>
      <c r="S20" s="5">
        <f t="shared" si="2"/>
        <v>73.80952380952381</v>
      </c>
      <c r="T20" s="28">
        <v>320</v>
      </c>
      <c r="U20" s="5">
        <f t="shared" si="3"/>
        <v>76.19047619047619</v>
      </c>
      <c r="V20" s="3"/>
      <c r="W20" s="3"/>
      <c r="X20" s="3"/>
      <c r="Y20" s="3"/>
      <c r="Z20" s="3" t="s">
        <v>140</v>
      </c>
      <c r="AA20" s="5"/>
      <c r="AB20" s="3"/>
      <c r="AC20" s="3"/>
      <c r="AD20" s="3"/>
      <c r="AE20" s="3"/>
      <c r="AF20" s="5"/>
      <c r="AG20" s="3"/>
      <c r="AH20" s="3"/>
      <c r="AI20" s="3"/>
      <c r="AJ20" s="3"/>
      <c r="AK20" s="5"/>
      <c r="AL20" s="3"/>
      <c r="AM20" s="3"/>
      <c r="AN20" s="3"/>
      <c r="AO20" s="3"/>
      <c r="AP20" s="5"/>
      <c r="AQ20" s="3"/>
    </row>
    <row r="21" spans="1:43" x14ac:dyDescent="0.3">
      <c r="A21" s="123">
        <f>Probanden!A21</f>
        <v>18</v>
      </c>
      <c r="B21" s="3" t="str">
        <f>Probanden!B21</f>
        <v xml:space="preserve">Keller </v>
      </c>
      <c r="C21" s="3" t="s">
        <v>147</v>
      </c>
      <c r="D21" s="3" t="s">
        <v>26</v>
      </c>
      <c r="E21" s="7">
        <f>Probanden!E21</f>
        <v>44911</v>
      </c>
      <c r="F21" s="7"/>
      <c r="G21" s="100">
        <v>380</v>
      </c>
      <c r="H21" s="5">
        <f>G21/Probanden!I21</f>
        <v>5.5882352941176467</v>
      </c>
      <c r="I21" s="3">
        <v>380</v>
      </c>
      <c r="J21" s="5">
        <f>I21/Probanden!I21</f>
        <v>5.5882352941176467</v>
      </c>
      <c r="K21" s="3">
        <v>195</v>
      </c>
      <c r="L21" s="99"/>
      <c r="M21" s="5"/>
      <c r="N21" s="34"/>
      <c r="O21" s="5"/>
      <c r="P21" s="23"/>
      <c r="Q21" s="5"/>
      <c r="R21" s="25"/>
      <c r="S21" s="5"/>
      <c r="T21" s="28"/>
      <c r="U21" s="5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3">
      <c r="A22" s="122">
        <f>Probanden!A22</f>
        <v>19</v>
      </c>
      <c r="B22" t="str">
        <f>Probanden!B22</f>
        <v>Schlichenmaier</v>
      </c>
      <c r="C22" t="str">
        <f>Probanden!C22</f>
        <v>Simon</v>
      </c>
      <c r="D22" t="str">
        <f>Probanden!D22</f>
        <v>männlich</v>
      </c>
      <c r="E22" s="9">
        <f>Probanden!E22</f>
        <v>44915</v>
      </c>
      <c r="F22" s="9">
        <v>44917</v>
      </c>
      <c r="G22" s="35">
        <v>360</v>
      </c>
      <c r="H22" s="2">
        <f>G22/Probanden!I22</f>
        <v>5.5384615384615383</v>
      </c>
      <c r="I22">
        <v>340</v>
      </c>
      <c r="J22" s="2">
        <f>I22/Probanden!I22</f>
        <v>5.2307692307692308</v>
      </c>
      <c r="K22">
        <v>185</v>
      </c>
      <c r="L22" s="63" t="s">
        <v>171</v>
      </c>
      <c r="M22" s="2">
        <f>L22/Probanden!I22*1000</f>
        <v>72.2</v>
      </c>
      <c r="N22" s="34">
        <v>225</v>
      </c>
      <c r="O22" s="2">
        <f t="shared" si="0"/>
        <v>62.5</v>
      </c>
      <c r="P22" s="23">
        <v>245</v>
      </c>
      <c r="Q22" s="2">
        <f t="shared" si="1"/>
        <v>68.055555555555557</v>
      </c>
      <c r="R22" s="25">
        <v>275</v>
      </c>
      <c r="S22" s="2">
        <f t="shared" si="2"/>
        <v>76.388888888888886</v>
      </c>
      <c r="T22" s="28">
        <v>285</v>
      </c>
      <c r="U22" s="2">
        <f t="shared" si="3"/>
        <v>79.166666666666657</v>
      </c>
      <c r="V22" s="33">
        <v>85</v>
      </c>
      <c r="W22">
        <v>83</v>
      </c>
      <c r="X22">
        <v>784</v>
      </c>
      <c r="Y22" s="2">
        <f>X22/Probanden!I22</f>
        <v>12.061538461538461</v>
      </c>
      <c r="Z22" t="s">
        <v>233</v>
      </c>
    </row>
    <row r="23" spans="1:43" x14ac:dyDescent="0.3">
      <c r="A23" s="122">
        <f>Probanden!A23</f>
        <v>20</v>
      </c>
      <c r="B23" t="str">
        <f>Probanden!B23</f>
        <v>Tollert</v>
      </c>
      <c r="C23" t="str">
        <f>Probanden!C23</f>
        <v>Markus</v>
      </c>
      <c r="D23" t="str">
        <f>Probanden!D23</f>
        <v>männlich</v>
      </c>
      <c r="E23" s="9">
        <f>Probanden!E23</f>
        <v>44916</v>
      </c>
      <c r="F23" s="9">
        <f>Probanden!F23</f>
        <v>44585</v>
      </c>
      <c r="G23" s="35">
        <v>440</v>
      </c>
      <c r="H23" s="2">
        <f>G23/Probanden!I23</f>
        <v>5.5</v>
      </c>
      <c r="I23">
        <v>380</v>
      </c>
      <c r="J23" s="2">
        <f>I23/Probanden!I23</f>
        <v>4.75</v>
      </c>
      <c r="K23">
        <v>190</v>
      </c>
      <c r="L23" s="63" t="s">
        <v>186</v>
      </c>
      <c r="M23" s="2">
        <f>L23/Probanden!I23*1000</f>
        <v>69.4375</v>
      </c>
      <c r="N23" s="34">
        <v>245</v>
      </c>
      <c r="O23" s="2">
        <f t="shared" si="0"/>
        <v>55.68181818181818</v>
      </c>
      <c r="P23" s="23">
        <v>275</v>
      </c>
      <c r="Q23" s="2">
        <f t="shared" si="1"/>
        <v>62.5</v>
      </c>
      <c r="R23" s="25">
        <v>310</v>
      </c>
      <c r="S23" s="2">
        <f t="shared" si="2"/>
        <v>70.454545454545453</v>
      </c>
      <c r="T23" s="28">
        <v>345</v>
      </c>
      <c r="U23" s="2">
        <f t="shared" si="3"/>
        <v>78.409090909090907</v>
      </c>
      <c r="V23">
        <v>88</v>
      </c>
      <c r="W23">
        <v>59</v>
      </c>
      <c r="X23">
        <v>922</v>
      </c>
      <c r="Y23" s="2">
        <f>X23/Probanden!I23</f>
        <v>11.525</v>
      </c>
    </row>
    <row r="24" spans="1:43" x14ac:dyDescent="0.3">
      <c r="A24" s="123">
        <f>Probanden!A24</f>
        <v>21</v>
      </c>
      <c r="B24" s="3" t="str">
        <f>Probanden!B24</f>
        <v>Lehmann</v>
      </c>
      <c r="C24" s="3" t="str">
        <f>Probanden!C24</f>
        <v>Tobias</v>
      </c>
      <c r="D24" s="3" t="str">
        <f>Probanden!D24</f>
        <v>männlich</v>
      </c>
      <c r="E24" s="7">
        <f>Probanden!E24</f>
        <v>44916</v>
      </c>
      <c r="F24" s="7"/>
      <c r="G24" s="100">
        <v>480</v>
      </c>
      <c r="H24" s="5">
        <f>G24/Probanden!I24</f>
        <v>4.8484848484848486</v>
      </c>
      <c r="I24" s="3">
        <v>420</v>
      </c>
      <c r="J24" s="5">
        <f>I24/Probanden!I24</f>
        <v>4.2424242424242422</v>
      </c>
      <c r="K24" s="3">
        <v>155</v>
      </c>
      <c r="L24" s="62" t="s">
        <v>184</v>
      </c>
      <c r="M24" s="5">
        <f>L24/Probanden!I24*1000</f>
        <v>57.717171717171723</v>
      </c>
      <c r="N24" s="34">
        <f>P24-(G24*0.075)</f>
        <v>284</v>
      </c>
      <c r="O24" s="5">
        <f t="shared" si="0"/>
        <v>59.166666666666664</v>
      </c>
      <c r="P24" s="23">
        <v>320</v>
      </c>
      <c r="Q24" s="5">
        <f t="shared" si="1"/>
        <v>66.666666666666657</v>
      </c>
      <c r="R24" s="25">
        <f t="shared" si="4"/>
        <v>350</v>
      </c>
      <c r="S24" s="5">
        <f t="shared" si="2"/>
        <v>72.916666666666657</v>
      </c>
      <c r="T24" s="28">
        <v>380</v>
      </c>
      <c r="U24" s="5">
        <f t="shared" si="3"/>
        <v>79.166666666666657</v>
      </c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x14ac:dyDescent="0.3">
      <c r="A25" s="122">
        <f>Probanden!A25</f>
        <v>22</v>
      </c>
      <c r="B25" t="str">
        <f>Probanden!B25</f>
        <v>Betz</v>
      </c>
      <c r="C25" t="str">
        <f>Probanden!C25</f>
        <v>Maja</v>
      </c>
      <c r="D25" t="str">
        <f>Probanden!D25</f>
        <v>weiblich</v>
      </c>
      <c r="E25" s="9">
        <f>Probanden!E25</f>
        <v>44564</v>
      </c>
      <c r="F25" s="9">
        <f>Probanden!F25</f>
        <v>44567</v>
      </c>
      <c r="G25" s="35">
        <v>330</v>
      </c>
      <c r="H25" s="2">
        <f>G25/Probanden!I25</f>
        <v>6.875</v>
      </c>
      <c r="I25">
        <v>330</v>
      </c>
      <c r="J25" s="2">
        <f>I25/Probanden!I25</f>
        <v>6.875</v>
      </c>
      <c r="K25">
        <v>185</v>
      </c>
      <c r="L25" s="112">
        <v>3.9</v>
      </c>
      <c r="M25" s="113">
        <f>L25/Probanden!I25*1000</f>
        <v>81.25</v>
      </c>
      <c r="N25" s="34">
        <v>200</v>
      </c>
      <c r="O25" s="2">
        <f t="shared" si="0"/>
        <v>60.606060606060609</v>
      </c>
      <c r="P25" s="23">
        <v>230</v>
      </c>
      <c r="Q25" s="2">
        <f t="shared" si="1"/>
        <v>69.696969696969703</v>
      </c>
      <c r="R25" s="25">
        <v>260</v>
      </c>
      <c r="S25" s="2">
        <f t="shared" si="2"/>
        <v>78.787878787878782</v>
      </c>
      <c r="T25" s="28">
        <v>280</v>
      </c>
      <c r="U25" s="2">
        <f t="shared" si="3"/>
        <v>84.848484848484844</v>
      </c>
      <c r="V25">
        <v>85</v>
      </c>
      <c r="W25">
        <v>64</v>
      </c>
      <c r="X25">
        <v>544</v>
      </c>
      <c r="Y25" s="2">
        <f>X25/Probanden!I25</f>
        <v>11.333333333333334</v>
      </c>
      <c r="Z25" t="s">
        <v>223</v>
      </c>
    </row>
    <row r="26" spans="1:43" x14ac:dyDescent="0.3">
      <c r="A26" s="122">
        <f>Probanden!A26</f>
        <v>23</v>
      </c>
      <c r="B26" t="str">
        <f>Probanden!B26</f>
        <v>Würth</v>
      </c>
      <c r="C26" t="str">
        <f>Probanden!C26</f>
        <v>Alina</v>
      </c>
      <c r="D26" t="str">
        <f>Probanden!D26</f>
        <v>weiblich</v>
      </c>
      <c r="E26" s="9">
        <f>Probanden!E26</f>
        <v>44932</v>
      </c>
      <c r="F26" s="9">
        <f>Probanden!F26</f>
        <v>44570</v>
      </c>
      <c r="G26" s="35">
        <v>330</v>
      </c>
      <c r="H26" s="2">
        <f>G26/Probanden!I26</f>
        <v>5.5</v>
      </c>
      <c r="I26">
        <v>315</v>
      </c>
      <c r="J26" s="2">
        <f>I26/Probanden!I26</f>
        <v>5.25</v>
      </c>
      <c r="K26">
        <v>170</v>
      </c>
      <c r="L26" s="112">
        <v>4.0759999999999996</v>
      </c>
      <c r="M26" s="113">
        <f>L26/Probanden!I26*1000</f>
        <v>67.933333333333337</v>
      </c>
      <c r="N26" s="34">
        <f>P26-(G26*0.075)</f>
        <v>185.25</v>
      </c>
      <c r="O26" s="2">
        <f t="shared" si="0"/>
        <v>56.13636363636364</v>
      </c>
      <c r="P26" s="23">
        <v>210</v>
      </c>
      <c r="Q26" s="2">
        <f t="shared" si="1"/>
        <v>63.636363636363633</v>
      </c>
      <c r="R26" s="25">
        <v>235</v>
      </c>
      <c r="S26" s="2">
        <f t="shared" si="2"/>
        <v>71.212121212121218</v>
      </c>
      <c r="T26" s="28">
        <v>255</v>
      </c>
      <c r="U26" s="2">
        <f t="shared" si="3"/>
        <v>77.272727272727266</v>
      </c>
      <c r="V26">
        <v>88</v>
      </c>
      <c r="W26">
        <v>75</v>
      </c>
      <c r="X26">
        <v>738</v>
      </c>
      <c r="Y26" s="2">
        <f>X26/Probanden!I26</f>
        <v>12.3</v>
      </c>
      <c r="Z26" t="s">
        <v>222</v>
      </c>
    </row>
    <row r="27" spans="1:43" x14ac:dyDescent="0.3">
      <c r="A27" s="123">
        <f>Probanden!A27</f>
        <v>24</v>
      </c>
      <c r="B27" s="3" t="str">
        <f>Probanden!B27</f>
        <v>Reichardt</v>
      </c>
      <c r="C27" s="3" t="str">
        <f>Probanden!C27</f>
        <v>Sara</v>
      </c>
      <c r="D27" s="3" t="str">
        <f>Probanden!D27</f>
        <v>weiblich</v>
      </c>
      <c r="E27" s="7">
        <f>Probanden!E27</f>
        <v>44932</v>
      </c>
      <c r="F27" s="3"/>
      <c r="G27" s="100">
        <v>300</v>
      </c>
      <c r="H27" s="5">
        <f>G27/Probanden!I27</f>
        <v>4.4776119402985071</v>
      </c>
      <c r="I27" s="3">
        <v>300</v>
      </c>
      <c r="J27" s="5">
        <f>I27/Probanden!I27</f>
        <v>4.4776119402985071</v>
      </c>
      <c r="K27" s="3">
        <v>170</v>
      </c>
      <c r="L27" s="62" t="s">
        <v>218</v>
      </c>
      <c r="M27" s="115">
        <f>L27/Probanden!I27*1000</f>
        <v>53.432835820895527</v>
      </c>
      <c r="N27" s="34">
        <f>P27-(G27*0.075)</f>
        <v>157.5</v>
      </c>
      <c r="O27" s="5">
        <f t="shared" si="0"/>
        <v>52.5</v>
      </c>
      <c r="P27" s="23">
        <v>180</v>
      </c>
      <c r="Q27" s="5">
        <f t="shared" si="1"/>
        <v>60</v>
      </c>
      <c r="R27" s="25">
        <v>210</v>
      </c>
      <c r="S27" s="5">
        <f t="shared" si="2"/>
        <v>70</v>
      </c>
      <c r="T27" s="28">
        <v>240</v>
      </c>
      <c r="U27" s="5">
        <f t="shared" si="3"/>
        <v>80</v>
      </c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">
      <c r="F28"/>
      <c r="G28" s="35"/>
      <c r="H28" s="2"/>
      <c r="J28" s="2"/>
      <c r="L28" s="63"/>
      <c r="M28" s="113"/>
      <c r="N28" s="34"/>
      <c r="O28" s="2"/>
      <c r="P28" s="23"/>
      <c r="Q28" s="2"/>
      <c r="R28" s="25"/>
      <c r="S28" s="2"/>
      <c r="T28" s="28"/>
      <c r="U28" s="2"/>
    </row>
    <row r="29" spans="1:43" s="30" customFormat="1" ht="1.35" customHeight="1" x14ac:dyDescent="0.3">
      <c r="A29" s="37"/>
      <c r="E29" s="38"/>
      <c r="F29" s="38"/>
      <c r="H29" s="39"/>
      <c r="J29" s="39"/>
    </row>
    <row r="30" spans="1:43" x14ac:dyDescent="0.3">
      <c r="A30" s="1" t="s">
        <v>104</v>
      </c>
      <c r="G30" s="35">
        <f t="shared" ref="G30:M30" si="6">AVERAGE(G4:G28)</f>
        <v>383.75</v>
      </c>
      <c r="H30" s="2">
        <f t="shared" si="6"/>
        <v>5.4380437029235784</v>
      </c>
      <c r="I30" s="35">
        <f t="shared" si="6"/>
        <v>355.20833333333331</v>
      </c>
      <c r="J30" s="2">
        <f t="shared" si="6"/>
        <v>5.0557418844535631</v>
      </c>
      <c r="K30" s="35">
        <f t="shared" si="6"/>
        <v>175.625</v>
      </c>
      <c r="L30" s="32">
        <f t="shared" si="6"/>
        <v>4.30187037037037</v>
      </c>
      <c r="M30" s="2">
        <f t="shared" si="6"/>
        <v>64.055998335753202</v>
      </c>
      <c r="N30" s="34">
        <f t="shared" ref="N30:R30" si="7">AVERAGE(N4:N21)</f>
        <v>245.66176470588235</v>
      </c>
      <c r="O30" s="2">
        <f>AVERAGE(O4:O28)</f>
        <v>61.841214497937287</v>
      </c>
      <c r="P30" s="40">
        <f t="shared" si="7"/>
        <v>274.70588235294116</v>
      </c>
      <c r="Q30" s="2">
        <f>AVERAGE(Q4:Q28)</f>
        <v>69.260912422361102</v>
      </c>
      <c r="R30" s="41">
        <f t="shared" si="7"/>
        <v>296.85294117647061</v>
      </c>
      <c r="S30" s="2">
        <f>AVERAGE(S4:S28)</f>
        <v>75.667838778616471</v>
      </c>
      <c r="T30" s="42">
        <f>AVERAGE(T4:T29)</f>
        <v>312.73913043478262</v>
      </c>
      <c r="U30" s="2">
        <f>AVERAGE(U4:U29)</f>
        <v>81.449333120971005</v>
      </c>
      <c r="V30" s="35">
        <f>AVERAGE(V4:V28)</f>
        <v>90.666666666666671</v>
      </c>
      <c r="W30" s="35">
        <f>AVERAGE(W4:W28)</f>
        <v>73.92307692307692</v>
      </c>
      <c r="X30" s="35">
        <f>AVERAGE(X4:X29)</f>
        <v>769.18181818181813</v>
      </c>
      <c r="Y30" s="35"/>
      <c r="Z30" t="s">
        <v>40</v>
      </c>
    </row>
    <row r="31" spans="1:43" x14ac:dyDescent="0.3">
      <c r="A31" s="1"/>
      <c r="H31" s="2"/>
      <c r="J31" s="2"/>
    </row>
    <row r="32" spans="1:43" x14ac:dyDescent="0.3">
      <c r="A32" s="1"/>
      <c r="H32" s="2"/>
      <c r="J32" s="2"/>
    </row>
    <row r="33" spans="1:18" x14ac:dyDescent="0.3">
      <c r="A33" s="1"/>
      <c r="H33" s="2"/>
      <c r="J33" s="2"/>
      <c r="N33" s="120" t="s">
        <v>236</v>
      </c>
      <c r="R33" t="s">
        <v>40</v>
      </c>
    </row>
    <row r="34" spans="1:18" x14ac:dyDescent="0.3">
      <c r="E34" s="9" t="s">
        <v>40</v>
      </c>
      <c r="H34" s="2"/>
      <c r="J34" s="2"/>
    </row>
    <row r="35" spans="1:18" x14ac:dyDescent="0.3">
      <c r="H35" s="2"/>
      <c r="J35" s="2"/>
    </row>
    <row r="36" spans="1:18" x14ac:dyDescent="0.3">
      <c r="H36" s="2"/>
      <c r="J36" s="2"/>
    </row>
    <row r="37" spans="1:18" x14ac:dyDescent="0.3">
      <c r="H37" s="2"/>
      <c r="J37" s="2"/>
    </row>
  </sheetData>
  <phoneticPr fontId="6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B9748-A930-44ED-8ADD-D137A9FC7D41}">
  <dimension ref="A1:Y12"/>
  <sheetViews>
    <sheetView workbookViewId="0">
      <selection activeCell="O1" sqref="O1"/>
    </sheetView>
  </sheetViews>
  <sheetFormatPr baseColWidth="10" defaultColWidth="8.88671875" defaultRowHeight="15.05" x14ac:dyDescent="0.3"/>
  <cols>
    <col min="1" max="1" width="9.5546875" bestFit="1" customWidth="1"/>
    <col min="2" max="2" width="9.44140625" bestFit="1" customWidth="1"/>
    <col min="3" max="3" width="4.77734375" bestFit="1" customWidth="1"/>
    <col min="4" max="4" width="5.77734375" bestFit="1" customWidth="1"/>
    <col min="5" max="5" width="7.33203125" bestFit="1" customWidth="1"/>
    <col min="6" max="6" width="15" bestFit="1" customWidth="1"/>
    <col min="7" max="7" width="14" bestFit="1" customWidth="1"/>
    <col min="8" max="8" width="10.33203125" bestFit="1" customWidth="1"/>
    <col min="9" max="9" width="11.109375" bestFit="1" customWidth="1"/>
    <col min="10" max="10" width="13.6640625" bestFit="1" customWidth="1"/>
    <col min="13" max="13" width="11.109375" bestFit="1" customWidth="1"/>
    <col min="14" max="14" width="10.33203125" bestFit="1" customWidth="1"/>
    <col min="24" max="24" width="17.109375" bestFit="1" customWidth="1"/>
    <col min="25" max="25" width="13.88671875" bestFit="1" customWidth="1"/>
  </cols>
  <sheetData>
    <row r="1" spans="1:25" s="1" customFormat="1" ht="16.399999999999999" x14ac:dyDescent="0.35">
      <c r="A1" s="1" t="s">
        <v>241</v>
      </c>
      <c r="B1" s="1" t="s">
        <v>25</v>
      </c>
      <c r="C1" s="1" t="s">
        <v>8</v>
      </c>
      <c r="D1" s="1" t="s">
        <v>6</v>
      </c>
      <c r="E1" s="1" t="s">
        <v>7</v>
      </c>
      <c r="F1" s="1" t="s">
        <v>31</v>
      </c>
      <c r="G1" s="1" t="s">
        <v>242</v>
      </c>
      <c r="H1" s="1" t="s">
        <v>16</v>
      </c>
      <c r="I1" s="1" t="s">
        <v>9</v>
      </c>
      <c r="J1" s="1" t="s">
        <v>17</v>
      </c>
      <c r="K1" s="1" t="s">
        <v>10</v>
      </c>
      <c r="L1" s="1" t="s">
        <v>33</v>
      </c>
      <c r="M1" s="1" t="s">
        <v>34</v>
      </c>
      <c r="N1" s="1" t="s">
        <v>238</v>
      </c>
      <c r="O1" s="1" t="s">
        <v>260</v>
      </c>
      <c r="P1" s="22" t="s">
        <v>42</v>
      </c>
      <c r="Q1" s="1" t="s">
        <v>14</v>
      </c>
      <c r="R1" s="24" t="s">
        <v>43</v>
      </c>
      <c r="S1" s="1" t="s">
        <v>12</v>
      </c>
      <c r="T1" s="26" t="s">
        <v>44</v>
      </c>
      <c r="U1" s="1" t="s">
        <v>11</v>
      </c>
      <c r="V1" s="27" t="s">
        <v>45</v>
      </c>
      <c r="W1" s="1" t="s">
        <v>13</v>
      </c>
      <c r="X1" s="1" t="s">
        <v>239</v>
      </c>
      <c r="Y1" s="1" t="s">
        <v>240</v>
      </c>
    </row>
    <row r="2" spans="1:25" x14ac:dyDescent="0.3">
      <c r="A2" s="122">
        <v>1</v>
      </c>
      <c r="B2" t="s">
        <v>26</v>
      </c>
      <c r="C2">
        <v>28</v>
      </c>
      <c r="D2">
        <v>183</v>
      </c>
      <c r="E2">
        <v>78</v>
      </c>
      <c r="F2">
        <v>175</v>
      </c>
      <c r="G2" s="32">
        <v>5.6550000000000002</v>
      </c>
      <c r="H2" s="2">
        <v>72.500000000000014</v>
      </c>
      <c r="I2" s="35">
        <v>440</v>
      </c>
      <c r="J2" s="2">
        <v>5.6410256410256414</v>
      </c>
      <c r="K2">
        <v>175</v>
      </c>
      <c r="L2">
        <v>84</v>
      </c>
      <c r="M2">
        <v>77</v>
      </c>
      <c r="N2">
        <v>792</v>
      </c>
      <c r="O2" s="2">
        <v>10.153846153846153</v>
      </c>
      <c r="P2" s="34">
        <v>290</v>
      </c>
      <c r="Q2" s="2">
        <v>65.909090909090907</v>
      </c>
      <c r="R2" s="23">
        <v>320</v>
      </c>
      <c r="S2" s="2">
        <v>72.727272727272734</v>
      </c>
      <c r="T2" s="25">
        <v>350</v>
      </c>
      <c r="U2" s="2">
        <v>79.545454545454547</v>
      </c>
      <c r="V2" s="28">
        <v>370</v>
      </c>
      <c r="W2" s="2">
        <v>84.090909090909093</v>
      </c>
      <c r="X2">
        <v>10</v>
      </c>
      <c r="Y2">
        <v>0.5</v>
      </c>
    </row>
    <row r="3" spans="1:25" x14ac:dyDescent="0.3">
      <c r="A3" s="122">
        <v>2</v>
      </c>
      <c r="B3" t="s">
        <v>27</v>
      </c>
      <c r="C3">
        <v>27</v>
      </c>
      <c r="D3">
        <v>158</v>
      </c>
      <c r="E3">
        <v>54</v>
      </c>
      <c r="F3">
        <v>170</v>
      </c>
      <c r="G3" s="32">
        <v>3.7360000000000002</v>
      </c>
      <c r="H3" s="2">
        <v>69.185185185185176</v>
      </c>
      <c r="I3" s="35">
        <v>330</v>
      </c>
      <c r="J3" s="2">
        <v>6.1111111111111107</v>
      </c>
      <c r="K3">
        <v>175</v>
      </c>
      <c r="L3">
        <v>99</v>
      </c>
      <c r="M3">
        <v>84</v>
      </c>
      <c r="N3">
        <v>641</v>
      </c>
      <c r="O3" s="2">
        <v>11.87037037037037</v>
      </c>
      <c r="P3" s="34">
        <v>200.25</v>
      </c>
      <c r="Q3" s="2">
        <v>60.68181818181818</v>
      </c>
      <c r="R3" s="23">
        <v>225</v>
      </c>
      <c r="S3" s="2">
        <v>68.181818181818173</v>
      </c>
      <c r="T3" s="25">
        <v>255</v>
      </c>
      <c r="U3" s="2">
        <v>77.272727272727266</v>
      </c>
      <c r="V3" s="28">
        <v>285</v>
      </c>
      <c r="W3" s="2">
        <v>86.36363636363636</v>
      </c>
      <c r="X3">
        <v>18</v>
      </c>
      <c r="Y3">
        <v>18</v>
      </c>
    </row>
    <row r="4" spans="1:25" x14ac:dyDescent="0.3">
      <c r="A4" s="122">
        <v>3</v>
      </c>
      <c r="B4" t="s">
        <v>27</v>
      </c>
      <c r="C4">
        <v>33</v>
      </c>
      <c r="D4">
        <v>163</v>
      </c>
      <c r="E4">
        <v>48</v>
      </c>
      <c r="F4">
        <v>170</v>
      </c>
      <c r="G4" s="32">
        <v>3.6040000000000001</v>
      </c>
      <c r="H4" s="2">
        <v>75.083333333333329</v>
      </c>
      <c r="I4" s="35">
        <v>300</v>
      </c>
      <c r="J4" s="2">
        <v>6.25</v>
      </c>
      <c r="K4">
        <v>165</v>
      </c>
      <c r="L4">
        <v>96</v>
      </c>
      <c r="M4">
        <v>90</v>
      </c>
      <c r="N4">
        <v>673</v>
      </c>
      <c r="O4" s="2">
        <v>14.020833333333334</v>
      </c>
      <c r="P4" s="34">
        <v>180</v>
      </c>
      <c r="Q4" s="2">
        <v>60</v>
      </c>
      <c r="R4" s="23">
        <v>200</v>
      </c>
      <c r="S4" s="2">
        <v>66.666666666666657</v>
      </c>
      <c r="T4" s="25">
        <v>225</v>
      </c>
      <c r="U4" s="2">
        <v>75</v>
      </c>
      <c r="V4" s="28">
        <v>240</v>
      </c>
      <c r="W4" s="2">
        <v>80</v>
      </c>
      <c r="X4">
        <v>16</v>
      </c>
      <c r="Y4">
        <v>15</v>
      </c>
    </row>
    <row r="5" spans="1:25" x14ac:dyDescent="0.3">
      <c r="A5" s="122">
        <v>6</v>
      </c>
      <c r="B5" t="s">
        <v>26</v>
      </c>
      <c r="C5">
        <v>34</v>
      </c>
      <c r="D5">
        <v>184</v>
      </c>
      <c r="E5">
        <v>73</v>
      </c>
      <c r="F5">
        <v>175</v>
      </c>
      <c r="G5" s="63" t="s">
        <v>86</v>
      </c>
      <c r="H5" s="2">
        <v>67.753424657534239</v>
      </c>
      <c r="I5" s="35">
        <v>440</v>
      </c>
      <c r="J5" s="2">
        <v>6.0273972602739727</v>
      </c>
      <c r="K5">
        <v>185</v>
      </c>
      <c r="L5" s="33">
        <v>79</v>
      </c>
      <c r="M5">
        <v>59</v>
      </c>
      <c r="N5">
        <v>730</v>
      </c>
      <c r="O5" s="2">
        <v>10</v>
      </c>
      <c r="P5" s="34">
        <v>280</v>
      </c>
      <c r="Q5" s="2">
        <v>63.636363636363633</v>
      </c>
      <c r="R5" s="23">
        <v>305</v>
      </c>
      <c r="S5" s="2">
        <v>69.318181818181827</v>
      </c>
      <c r="T5" s="25">
        <v>325</v>
      </c>
      <c r="U5" s="2">
        <v>73.86363636363636</v>
      </c>
      <c r="V5" s="28">
        <v>360</v>
      </c>
      <c r="W5" s="2">
        <v>81.818181818181827</v>
      </c>
      <c r="X5">
        <v>5</v>
      </c>
      <c r="Y5">
        <v>4</v>
      </c>
    </row>
    <row r="6" spans="1:25" x14ac:dyDescent="0.3">
      <c r="A6" s="122">
        <v>10</v>
      </c>
      <c r="B6" t="s">
        <v>26</v>
      </c>
      <c r="C6">
        <v>45</v>
      </c>
      <c r="D6">
        <v>183</v>
      </c>
      <c r="E6">
        <v>82</v>
      </c>
      <c r="F6">
        <v>172.5</v>
      </c>
      <c r="G6" s="63" t="s">
        <v>125</v>
      </c>
      <c r="H6" s="2">
        <v>75.378048780487802</v>
      </c>
      <c r="I6" s="35">
        <v>500</v>
      </c>
      <c r="J6" s="2">
        <v>6.0975609756097562</v>
      </c>
      <c r="K6">
        <v>195</v>
      </c>
      <c r="L6">
        <v>92</v>
      </c>
      <c r="M6">
        <v>62</v>
      </c>
      <c r="N6">
        <v>905</v>
      </c>
      <c r="O6" s="2">
        <v>11.036585365853659</v>
      </c>
      <c r="P6" s="34">
        <v>325</v>
      </c>
      <c r="Q6" s="2">
        <v>65</v>
      </c>
      <c r="R6" s="23">
        <v>380</v>
      </c>
      <c r="S6" s="2">
        <v>76</v>
      </c>
      <c r="T6" s="25">
        <v>410</v>
      </c>
      <c r="U6" s="2">
        <v>82</v>
      </c>
      <c r="V6" s="28">
        <v>435</v>
      </c>
      <c r="W6" s="2">
        <v>87</v>
      </c>
      <c r="X6">
        <v>8</v>
      </c>
      <c r="Y6">
        <v>8</v>
      </c>
    </row>
    <row r="7" spans="1:25" x14ac:dyDescent="0.3">
      <c r="A7" s="122">
        <v>13</v>
      </c>
      <c r="B7" t="s">
        <v>26</v>
      </c>
      <c r="C7">
        <v>36</v>
      </c>
      <c r="D7">
        <v>179</v>
      </c>
      <c r="E7">
        <v>72</v>
      </c>
      <c r="F7">
        <v>172.5</v>
      </c>
      <c r="G7" s="63" t="s">
        <v>131</v>
      </c>
      <c r="H7" s="2">
        <v>72.000000000000014</v>
      </c>
      <c r="I7" s="35">
        <v>460</v>
      </c>
      <c r="J7" s="2">
        <v>6.3888888888888893</v>
      </c>
      <c r="K7">
        <v>190</v>
      </c>
      <c r="L7">
        <v>100</v>
      </c>
      <c r="M7">
        <v>76</v>
      </c>
      <c r="N7">
        <v>851</v>
      </c>
      <c r="O7" s="2">
        <v>11.819444444444445</v>
      </c>
      <c r="P7" s="34">
        <v>305</v>
      </c>
      <c r="Q7" s="2">
        <v>66.304347826086953</v>
      </c>
      <c r="R7" s="23">
        <v>335</v>
      </c>
      <c r="S7" s="2">
        <v>72.826086956521735</v>
      </c>
      <c r="T7" s="25">
        <v>360</v>
      </c>
      <c r="U7" s="2">
        <v>78.260869565217391</v>
      </c>
      <c r="V7" s="28">
        <v>380</v>
      </c>
      <c r="W7" s="2">
        <v>82.608695652173907</v>
      </c>
      <c r="X7">
        <v>12</v>
      </c>
      <c r="Y7">
        <v>11</v>
      </c>
    </row>
    <row r="8" spans="1:25" x14ac:dyDescent="0.3">
      <c r="A8" s="122">
        <v>15</v>
      </c>
      <c r="B8" t="s">
        <v>26</v>
      </c>
      <c r="C8">
        <v>30</v>
      </c>
      <c r="D8">
        <v>176</v>
      </c>
      <c r="E8">
        <v>76</v>
      </c>
      <c r="F8">
        <v>175</v>
      </c>
      <c r="G8" s="63" t="s">
        <v>141</v>
      </c>
      <c r="H8" s="2">
        <v>70.078947368421041</v>
      </c>
      <c r="I8" s="35">
        <v>460</v>
      </c>
      <c r="J8" s="2">
        <v>6.0526315789473681</v>
      </c>
      <c r="K8">
        <v>205</v>
      </c>
      <c r="L8">
        <v>95</v>
      </c>
      <c r="M8">
        <v>67</v>
      </c>
      <c r="N8">
        <v>881</v>
      </c>
      <c r="O8" s="2">
        <v>11.592105263157896</v>
      </c>
      <c r="P8" s="34">
        <v>270.5</v>
      </c>
      <c r="Q8" s="2">
        <v>58.804347826086953</v>
      </c>
      <c r="R8" s="23">
        <v>305</v>
      </c>
      <c r="S8" s="2">
        <v>66.304347826086953</v>
      </c>
      <c r="T8" s="25">
        <v>332.5</v>
      </c>
      <c r="U8" s="2">
        <v>72.282608695652172</v>
      </c>
      <c r="V8" s="28">
        <v>360</v>
      </c>
      <c r="W8" s="2">
        <v>78.260869565217391</v>
      </c>
      <c r="X8">
        <v>12</v>
      </c>
      <c r="Y8">
        <v>7</v>
      </c>
    </row>
    <row r="9" spans="1:25" x14ac:dyDescent="0.3">
      <c r="A9" s="122">
        <v>19</v>
      </c>
      <c r="B9" t="s">
        <v>26</v>
      </c>
      <c r="C9">
        <v>37</v>
      </c>
      <c r="D9">
        <v>176</v>
      </c>
      <c r="E9">
        <v>65</v>
      </c>
      <c r="F9">
        <v>172.5</v>
      </c>
      <c r="G9" s="63" t="s">
        <v>171</v>
      </c>
      <c r="H9" s="2">
        <v>72.2</v>
      </c>
      <c r="I9" s="35">
        <v>360</v>
      </c>
      <c r="J9" s="2">
        <v>5.5384615384615383</v>
      </c>
      <c r="K9">
        <v>185</v>
      </c>
      <c r="L9" s="33">
        <v>85</v>
      </c>
      <c r="M9">
        <v>83</v>
      </c>
      <c r="N9">
        <v>784</v>
      </c>
      <c r="O9" s="2">
        <v>12.061538461538461</v>
      </c>
      <c r="P9" s="34">
        <v>225</v>
      </c>
      <c r="Q9" s="2">
        <v>62.5</v>
      </c>
      <c r="R9" s="23">
        <v>245</v>
      </c>
      <c r="S9" s="2">
        <v>68.055555555555557</v>
      </c>
      <c r="T9" s="25">
        <v>275</v>
      </c>
      <c r="U9" s="2">
        <v>76.388888888888886</v>
      </c>
      <c r="V9" s="28">
        <v>285</v>
      </c>
      <c r="W9" s="2">
        <v>79.166666666666657</v>
      </c>
      <c r="X9">
        <v>11</v>
      </c>
      <c r="Y9">
        <v>4</v>
      </c>
    </row>
    <row r="10" spans="1:25" x14ac:dyDescent="0.3">
      <c r="A10" s="122">
        <v>20</v>
      </c>
      <c r="B10" t="s">
        <v>26</v>
      </c>
      <c r="C10">
        <v>33</v>
      </c>
      <c r="D10">
        <v>186</v>
      </c>
      <c r="E10">
        <v>80</v>
      </c>
      <c r="F10">
        <v>172.5</v>
      </c>
      <c r="G10" s="63" t="s">
        <v>186</v>
      </c>
      <c r="H10" s="2">
        <v>69.4375</v>
      </c>
      <c r="I10" s="35">
        <v>440</v>
      </c>
      <c r="J10" s="2">
        <v>5.5</v>
      </c>
      <c r="K10">
        <v>190</v>
      </c>
      <c r="L10">
        <v>88</v>
      </c>
      <c r="M10">
        <v>59</v>
      </c>
      <c r="N10">
        <v>922</v>
      </c>
      <c r="O10" s="2">
        <v>11.525</v>
      </c>
      <c r="P10" s="34">
        <v>245</v>
      </c>
      <c r="Q10" s="2">
        <v>55.68181818181818</v>
      </c>
      <c r="R10" s="23">
        <v>275</v>
      </c>
      <c r="S10" s="2">
        <v>62.5</v>
      </c>
      <c r="T10" s="25">
        <v>310</v>
      </c>
      <c r="U10" s="2">
        <v>70.454545454545453</v>
      </c>
      <c r="V10" s="28">
        <v>345</v>
      </c>
      <c r="W10" s="2">
        <v>78.409090909090907</v>
      </c>
      <c r="X10">
        <v>6</v>
      </c>
      <c r="Y10">
        <v>3</v>
      </c>
    </row>
    <row r="11" spans="1:25" x14ac:dyDescent="0.3">
      <c r="A11" s="122">
        <v>22</v>
      </c>
      <c r="B11" t="s">
        <v>27</v>
      </c>
      <c r="C11">
        <v>24</v>
      </c>
      <c r="D11">
        <v>157</v>
      </c>
      <c r="E11">
        <v>48</v>
      </c>
      <c r="F11">
        <v>170</v>
      </c>
      <c r="G11" s="112">
        <v>3.9</v>
      </c>
      <c r="H11" s="113">
        <v>81.25</v>
      </c>
      <c r="I11" s="35">
        <v>330</v>
      </c>
      <c r="J11" s="2">
        <v>6.875</v>
      </c>
      <c r="K11">
        <v>185</v>
      </c>
      <c r="L11">
        <v>85</v>
      </c>
      <c r="M11">
        <v>64</v>
      </c>
      <c r="N11">
        <v>544</v>
      </c>
      <c r="O11" s="2">
        <v>11.333333333333334</v>
      </c>
      <c r="P11" s="34">
        <v>200</v>
      </c>
      <c r="Q11" s="2">
        <v>60.606060606060609</v>
      </c>
      <c r="R11" s="23">
        <v>230</v>
      </c>
      <c r="S11" s="2">
        <v>69.696969696969703</v>
      </c>
      <c r="T11" s="25">
        <v>260</v>
      </c>
      <c r="U11" s="2">
        <v>78.787878787878782</v>
      </c>
      <c r="V11" s="28">
        <v>280</v>
      </c>
      <c r="W11" s="2">
        <v>84.848484848484844</v>
      </c>
      <c r="X11">
        <v>23</v>
      </c>
      <c r="Y11">
        <v>13</v>
      </c>
    </row>
    <row r="12" spans="1:25" x14ac:dyDescent="0.3">
      <c r="A12" s="122">
        <v>23</v>
      </c>
      <c r="B12" t="s">
        <v>27</v>
      </c>
      <c r="C12">
        <v>26</v>
      </c>
      <c r="D12">
        <v>163</v>
      </c>
      <c r="E12">
        <v>60</v>
      </c>
      <c r="F12">
        <v>172.5</v>
      </c>
      <c r="G12" s="112">
        <v>4.0759999999999996</v>
      </c>
      <c r="H12" s="113">
        <v>67.933333333333337</v>
      </c>
      <c r="I12" s="35">
        <v>330</v>
      </c>
      <c r="J12" s="2">
        <v>5.5</v>
      </c>
      <c r="K12">
        <v>170</v>
      </c>
      <c r="L12">
        <v>88</v>
      </c>
      <c r="M12">
        <v>75</v>
      </c>
      <c r="N12">
        <v>738</v>
      </c>
      <c r="O12" s="2">
        <v>12.3</v>
      </c>
      <c r="P12" s="34">
        <v>185.25</v>
      </c>
      <c r="Q12" s="2">
        <v>56.13636363636364</v>
      </c>
      <c r="R12" s="23">
        <v>210</v>
      </c>
      <c r="S12" s="2">
        <v>63.636363636363633</v>
      </c>
      <c r="T12" s="25">
        <v>235</v>
      </c>
      <c r="U12" s="2">
        <v>71.212121212121218</v>
      </c>
      <c r="V12" s="28">
        <v>255</v>
      </c>
      <c r="W12" s="2">
        <v>77.272727272727266</v>
      </c>
      <c r="X12">
        <v>11</v>
      </c>
      <c r="Y12">
        <v>3.5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586B9-1AA3-4950-B436-9D16CD971040}">
  <dimension ref="A1:AB18"/>
  <sheetViews>
    <sheetView tabSelected="1" topLeftCell="O1" workbookViewId="0">
      <selection activeCell="AA15" sqref="AA15"/>
    </sheetView>
  </sheetViews>
  <sheetFormatPr baseColWidth="10" defaultColWidth="8.88671875" defaultRowHeight="15.05" x14ac:dyDescent="0.3"/>
  <cols>
    <col min="1" max="1" width="7.5546875" bestFit="1" customWidth="1"/>
    <col min="2" max="2" width="9.6640625" bestFit="1" customWidth="1"/>
    <col min="3" max="3" width="10.88671875" bestFit="1" customWidth="1"/>
    <col min="4" max="4" width="10" bestFit="1" customWidth="1"/>
    <col min="5" max="5" width="11.109375" bestFit="1" customWidth="1"/>
    <col min="6" max="6" width="15.21875" bestFit="1" customWidth="1"/>
    <col min="7" max="7" width="12.21875" bestFit="1" customWidth="1"/>
    <col min="8" max="8" width="16.44140625" bestFit="1" customWidth="1"/>
    <col min="9" max="9" width="13.109375" bestFit="1" customWidth="1"/>
    <col min="10" max="10" width="13.44140625" bestFit="1" customWidth="1"/>
    <col min="11" max="11" width="24" bestFit="1" customWidth="1"/>
    <col min="12" max="12" width="24.88671875" bestFit="1" customWidth="1"/>
    <col min="13" max="13" width="25.44140625" bestFit="1" customWidth="1"/>
    <col min="14" max="14" width="12.21875" bestFit="1" customWidth="1"/>
    <col min="15" max="15" width="17.44140625" bestFit="1" customWidth="1"/>
    <col min="16" max="16" width="24.33203125" bestFit="1" customWidth="1"/>
    <col min="17" max="17" width="15" bestFit="1" customWidth="1"/>
    <col min="18" max="18" width="17.5546875" bestFit="1" customWidth="1"/>
    <col min="19" max="19" width="7.109375" bestFit="1" customWidth="1"/>
    <col min="20" max="20" width="20.21875" bestFit="1" customWidth="1"/>
    <col min="21" max="21" width="10.88671875" bestFit="1" customWidth="1"/>
    <col min="22" max="22" width="20.33203125" bestFit="1" customWidth="1"/>
    <col min="23" max="23" width="7.109375" bestFit="1" customWidth="1"/>
    <col min="24" max="24" width="13.88671875" bestFit="1" customWidth="1"/>
    <col min="25" max="25" width="11.88671875" bestFit="1" customWidth="1"/>
    <col min="27" max="27" width="11.109375" bestFit="1" customWidth="1"/>
  </cols>
  <sheetData>
    <row r="1" spans="1:28" s="1" customFormat="1" ht="16.399999999999999" x14ac:dyDescent="0.35">
      <c r="A1" s="1" t="s">
        <v>241</v>
      </c>
      <c r="B1" s="1" t="s">
        <v>25</v>
      </c>
      <c r="C1" s="1" t="s">
        <v>245</v>
      </c>
      <c r="D1" s="1" t="s">
        <v>254</v>
      </c>
      <c r="E1" s="1" t="s">
        <v>253</v>
      </c>
      <c r="F1" s="1" t="s">
        <v>246</v>
      </c>
      <c r="G1" s="1" t="s">
        <v>266</v>
      </c>
      <c r="H1" s="1" t="s">
        <v>267</v>
      </c>
      <c r="I1" s="1" t="s">
        <v>255</v>
      </c>
      <c r="J1" s="1" t="s">
        <v>256</v>
      </c>
      <c r="K1" s="1" t="s">
        <v>257</v>
      </c>
      <c r="L1" s="1" t="s">
        <v>258</v>
      </c>
      <c r="M1" s="1" t="s">
        <v>259</v>
      </c>
      <c r="N1" s="1" t="s">
        <v>238</v>
      </c>
      <c r="O1" s="1" t="s">
        <v>261</v>
      </c>
      <c r="P1" s="22" t="s">
        <v>262</v>
      </c>
      <c r="Q1" s="1" t="s">
        <v>263</v>
      </c>
      <c r="R1" s="24" t="s">
        <v>247</v>
      </c>
      <c r="S1" s="1" t="s">
        <v>252</v>
      </c>
      <c r="T1" s="26" t="s">
        <v>248</v>
      </c>
      <c r="U1" s="1" t="s">
        <v>251</v>
      </c>
      <c r="V1" s="27" t="s">
        <v>249</v>
      </c>
      <c r="W1" s="1" t="s">
        <v>250</v>
      </c>
      <c r="X1" s="1" t="s">
        <v>264</v>
      </c>
      <c r="Y1" s="1" t="s">
        <v>265</v>
      </c>
      <c r="AA1" s="1" t="s">
        <v>32</v>
      </c>
    </row>
    <row r="2" spans="1:28" x14ac:dyDescent="0.3">
      <c r="A2" s="122">
        <v>1</v>
      </c>
      <c r="B2" t="s">
        <v>26</v>
      </c>
      <c r="C2">
        <v>28</v>
      </c>
      <c r="D2">
        <v>183</v>
      </c>
      <c r="E2">
        <v>78</v>
      </c>
      <c r="F2">
        <v>175</v>
      </c>
      <c r="G2" s="32">
        <v>5.6550000000000002</v>
      </c>
      <c r="H2" s="2">
        <v>72.500000000000014</v>
      </c>
      <c r="I2" s="35">
        <v>440</v>
      </c>
      <c r="J2" s="2">
        <v>5.6410256410256414</v>
      </c>
      <c r="K2">
        <v>175</v>
      </c>
      <c r="L2">
        <v>84</v>
      </c>
      <c r="M2">
        <v>77</v>
      </c>
      <c r="N2">
        <v>792</v>
      </c>
      <c r="O2" s="2">
        <v>10.153846153846153</v>
      </c>
      <c r="P2" s="34">
        <v>290</v>
      </c>
      <c r="Q2" s="2">
        <v>65.909090909090907</v>
      </c>
      <c r="R2" s="23">
        <v>320</v>
      </c>
      <c r="S2" s="2">
        <v>72.727272727272734</v>
      </c>
      <c r="T2" s="25">
        <v>350</v>
      </c>
      <c r="U2" s="2">
        <v>79.545454545454547</v>
      </c>
      <c r="V2" s="28">
        <v>370</v>
      </c>
      <c r="W2" s="2">
        <v>84.090909090909093</v>
      </c>
      <c r="X2">
        <v>10</v>
      </c>
      <c r="Y2">
        <v>0.5</v>
      </c>
      <c r="AA2">
        <v>440</v>
      </c>
    </row>
    <row r="3" spans="1:28" x14ac:dyDescent="0.3">
      <c r="A3" s="122">
        <v>6</v>
      </c>
      <c r="B3" t="s">
        <v>26</v>
      </c>
      <c r="C3">
        <v>34</v>
      </c>
      <c r="D3">
        <v>184</v>
      </c>
      <c r="E3">
        <v>73</v>
      </c>
      <c r="F3">
        <v>175</v>
      </c>
      <c r="G3" s="63" t="s">
        <v>86</v>
      </c>
      <c r="H3" s="2">
        <v>67.753424657534239</v>
      </c>
      <c r="I3" s="35">
        <v>440</v>
      </c>
      <c r="J3" s="2">
        <v>6.0273972602739727</v>
      </c>
      <c r="K3">
        <v>185</v>
      </c>
      <c r="L3" s="33">
        <v>79</v>
      </c>
      <c r="M3">
        <v>59</v>
      </c>
      <c r="N3">
        <v>730</v>
      </c>
      <c r="O3" s="2">
        <v>10</v>
      </c>
      <c r="P3" s="34">
        <v>280</v>
      </c>
      <c r="Q3" s="2">
        <v>63.636363636363633</v>
      </c>
      <c r="R3" s="23">
        <v>305</v>
      </c>
      <c r="S3" s="2">
        <v>69.318181818181827</v>
      </c>
      <c r="T3" s="25">
        <v>325</v>
      </c>
      <c r="U3" s="2">
        <v>73.86363636363636</v>
      </c>
      <c r="V3" s="28">
        <v>360</v>
      </c>
      <c r="W3" s="2">
        <v>81.818181818181827</v>
      </c>
      <c r="X3">
        <v>5</v>
      </c>
      <c r="Y3">
        <v>4</v>
      </c>
      <c r="AA3">
        <v>400</v>
      </c>
    </row>
    <row r="4" spans="1:28" x14ac:dyDescent="0.3">
      <c r="A4" s="122">
        <v>10</v>
      </c>
      <c r="B4" t="s">
        <v>26</v>
      </c>
      <c r="C4">
        <v>45</v>
      </c>
      <c r="D4">
        <v>183</v>
      </c>
      <c r="E4">
        <v>82</v>
      </c>
      <c r="F4">
        <v>172.5</v>
      </c>
      <c r="G4" s="63" t="s">
        <v>125</v>
      </c>
      <c r="H4" s="2">
        <v>75.378048780487802</v>
      </c>
      <c r="I4" s="35">
        <v>500</v>
      </c>
      <c r="J4" s="2">
        <v>6.0975609756097562</v>
      </c>
      <c r="K4">
        <v>195</v>
      </c>
      <c r="L4">
        <v>92</v>
      </c>
      <c r="M4">
        <v>62</v>
      </c>
      <c r="N4">
        <v>905</v>
      </c>
      <c r="O4" s="2">
        <v>11.036585365853659</v>
      </c>
      <c r="P4" s="34">
        <v>325</v>
      </c>
      <c r="Q4" s="2">
        <v>65</v>
      </c>
      <c r="R4" s="23">
        <v>380</v>
      </c>
      <c r="S4" s="2">
        <v>76</v>
      </c>
      <c r="T4" s="25">
        <v>410</v>
      </c>
      <c r="U4" s="2">
        <v>82</v>
      </c>
      <c r="V4" s="28">
        <v>435</v>
      </c>
      <c r="W4" s="2">
        <v>87</v>
      </c>
      <c r="X4">
        <v>8</v>
      </c>
      <c r="Y4">
        <v>8</v>
      </c>
      <c r="AA4">
        <v>500</v>
      </c>
    </row>
    <row r="5" spans="1:28" x14ac:dyDescent="0.3">
      <c r="A5" s="122">
        <v>13</v>
      </c>
      <c r="B5" t="s">
        <v>26</v>
      </c>
      <c r="C5">
        <v>36</v>
      </c>
      <c r="D5">
        <v>179</v>
      </c>
      <c r="E5">
        <v>72</v>
      </c>
      <c r="F5">
        <v>172.5</v>
      </c>
      <c r="G5" s="63" t="s">
        <v>131</v>
      </c>
      <c r="H5" s="2">
        <v>72.000000000000014</v>
      </c>
      <c r="I5" s="35">
        <v>460</v>
      </c>
      <c r="J5" s="2">
        <v>6.3888888888888893</v>
      </c>
      <c r="K5">
        <v>190</v>
      </c>
      <c r="L5">
        <v>100</v>
      </c>
      <c r="M5">
        <v>76</v>
      </c>
      <c r="N5">
        <v>851</v>
      </c>
      <c r="O5" s="2">
        <v>11.819444444444445</v>
      </c>
      <c r="P5" s="34">
        <v>305</v>
      </c>
      <c r="Q5" s="2">
        <v>66.304347826086953</v>
      </c>
      <c r="R5" s="23">
        <v>335</v>
      </c>
      <c r="S5" s="2">
        <v>72.826086956521735</v>
      </c>
      <c r="T5" s="25">
        <v>360</v>
      </c>
      <c r="U5" s="2">
        <v>78.260869565217391</v>
      </c>
      <c r="V5" s="28">
        <v>380</v>
      </c>
      <c r="W5" s="2">
        <v>82.608695652173907</v>
      </c>
      <c r="X5">
        <v>12</v>
      </c>
      <c r="Y5">
        <v>11</v>
      </c>
      <c r="AA5">
        <v>440</v>
      </c>
    </row>
    <row r="6" spans="1:28" x14ac:dyDescent="0.3">
      <c r="A6" s="122">
        <v>15</v>
      </c>
      <c r="B6" t="s">
        <v>26</v>
      </c>
      <c r="C6">
        <v>30</v>
      </c>
      <c r="D6">
        <v>176</v>
      </c>
      <c r="E6">
        <v>76</v>
      </c>
      <c r="F6">
        <v>175</v>
      </c>
      <c r="G6" s="63" t="s">
        <v>141</v>
      </c>
      <c r="H6" s="2">
        <v>70.078947368421041</v>
      </c>
      <c r="I6" s="35">
        <v>460</v>
      </c>
      <c r="J6" s="2">
        <v>6.0526315789473681</v>
      </c>
      <c r="K6">
        <v>205</v>
      </c>
      <c r="L6">
        <v>95</v>
      </c>
      <c r="M6">
        <v>67</v>
      </c>
      <c r="N6">
        <v>881</v>
      </c>
      <c r="O6" s="2">
        <v>11.592105263157896</v>
      </c>
      <c r="P6" s="34">
        <v>270.5</v>
      </c>
      <c r="Q6" s="2">
        <v>58.804347826086953</v>
      </c>
      <c r="R6" s="23">
        <v>305</v>
      </c>
      <c r="S6" s="2">
        <v>66.304347826086953</v>
      </c>
      <c r="T6" s="25">
        <v>332.5</v>
      </c>
      <c r="U6" s="2">
        <v>72.282608695652172</v>
      </c>
      <c r="V6" s="28">
        <v>360</v>
      </c>
      <c r="W6" s="2">
        <v>78.260869565217391</v>
      </c>
      <c r="X6">
        <v>12</v>
      </c>
      <c r="Y6">
        <v>7</v>
      </c>
      <c r="AA6">
        <v>400</v>
      </c>
    </row>
    <row r="7" spans="1:28" x14ac:dyDescent="0.3">
      <c r="A7" s="122">
        <v>19</v>
      </c>
      <c r="B7" t="s">
        <v>26</v>
      </c>
      <c r="C7">
        <v>37</v>
      </c>
      <c r="D7">
        <v>176</v>
      </c>
      <c r="E7">
        <v>65</v>
      </c>
      <c r="F7">
        <v>172.5</v>
      </c>
      <c r="G7" s="63" t="s">
        <v>171</v>
      </c>
      <c r="H7" s="2">
        <v>72.2</v>
      </c>
      <c r="I7" s="35">
        <v>360</v>
      </c>
      <c r="J7" s="2">
        <v>5.5384615384615383</v>
      </c>
      <c r="K7">
        <v>185</v>
      </c>
      <c r="L7" s="33">
        <v>85</v>
      </c>
      <c r="M7">
        <v>83</v>
      </c>
      <c r="N7">
        <v>784</v>
      </c>
      <c r="O7" s="2">
        <v>12.061538461538461</v>
      </c>
      <c r="P7" s="34">
        <v>225</v>
      </c>
      <c r="Q7" s="2">
        <v>62.5</v>
      </c>
      <c r="R7" s="23">
        <v>245</v>
      </c>
      <c r="S7" s="2">
        <v>68.055555555555557</v>
      </c>
      <c r="T7" s="25">
        <v>275</v>
      </c>
      <c r="U7" s="2">
        <v>76.388888888888886</v>
      </c>
      <c r="V7" s="28">
        <v>285</v>
      </c>
      <c r="W7" s="2">
        <v>79.166666666666657</v>
      </c>
      <c r="X7">
        <v>11</v>
      </c>
      <c r="Y7">
        <v>4</v>
      </c>
      <c r="AA7">
        <v>340</v>
      </c>
    </row>
    <row r="8" spans="1:28" x14ac:dyDescent="0.3">
      <c r="A8" s="122">
        <v>20</v>
      </c>
      <c r="B8" t="s">
        <v>26</v>
      </c>
      <c r="C8">
        <v>33</v>
      </c>
      <c r="D8">
        <v>186</v>
      </c>
      <c r="E8">
        <v>80</v>
      </c>
      <c r="F8">
        <v>172.5</v>
      </c>
      <c r="G8" s="63" t="s">
        <v>186</v>
      </c>
      <c r="H8" s="2">
        <v>69.4375</v>
      </c>
      <c r="I8" s="35">
        <v>440</v>
      </c>
      <c r="J8" s="2">
        <v>5.5</v>
      </c>
      <c r="K8">
        <v>190</v>
      </c>
      <c r="L8">
        <v>88</v>
      </c>
      <c r="M8">
        <v>59</v>
      </c>
      <c r="N8">
        <v>922</v>
      </c>
      <c r="O8" s="2">
        <v>11.525</v>
      </c>
      <c r="P8" s="34">
        <v>245</v>
      </c>
      <c r="Q8" s="2">
        <v>55.68181818181818</v>
      </c>
      <c r="R8" s="23">
        <v>275</v>
      </c>
      <c r="S8" s="2">
        <v>62.5</v>
      </c>
      <c r="T8" s="25">
        <v>310</v>
      </c>
      <c r="U8" s="2">
        <v>70.454545454545453</v>
      </c>
      <c r="V8" s="28">
        <v>345</v>
      </c>
      <c r="W8" s="2">
        <v>78.409090909090907</v>
      </c>
      <c r="X8">
        <v>6</v>
      </c>
      <c r="Y8">
        <v>3</v>
      </c>
      <c r="AA8">
        <v>380</v>
      </c>
    </row>
    <row r="9" spans="1:28" x14ac:dyDescent="0.3">
      <c r="A9" s="122">
        <v>22</v>
      </c>
      <c r="B9" t="s">
        <v>27</v>
      </c>
      <c r="C9">
        <v>24</v>
      </c>
      <c r="D9">
        <v>157</v>
      </c>
      <c r="E9">
        <v>48</v>
      </c>
      <c r="F9">
        <v>170</v>
      </c>
      <c r="G9" s="112">
        <v>3.9</v>
      </c>
      <c r="H9" s="113">
        <v>81.25</v>
      </c>
      <c r="I9" s="35">
        <v>330</v>
      </c>
      <c r="J9" s="2">
        <v>6.875</v>
      </c>
      <c r="K9">
        <v>185</v>
      </c>
      <c r="L9">
        <v>85</v>
      </c>
      <c r="M9">
        <v>64</v>
      </c>
      <c r="N9">
        <v>544</v>
      </c>
      <c r="O9" s="2">
        <v>11.333333333333334</v>
      </c>
      <c r="P9" s="34">
        <v>200</v>
      </c>
      <c r="Q9" s="2">
        <v>60.606060606060609</v>
      </c>
      <c r="R9" s="23">
        <v>230</v>
      </c>
      <c r="S9" s="2">
        <v>69.696969696969703</v>
      </c>
      <c r="T9" s="25">
        <v>260</v>
      </c>
      <c r="U9" s="2">
        <v>78.787878787878782</v>
      </c>
      <c r="V9" s="28">
        <v>280</v>
      </c>
      <c r="W9" s="2">
        <v>84.848484848484844</v>
      </c>
      <c r="X9">
        <v>23</v>
      </c>
      <c r="Y9">
        <v>13</v>
      </c>
      <c r="AA9">
        <v>330</v>
      </c>
    </row>
    <row r="10" spans="1:28" x14ac:dyDescent="0.3">
      <c r="A10" s="122">
        <v>23</v>
      </c>
      <c r="B10" t="s">
        <v>27</v>
      </c>
      <c r="C10">
        <v>26</v>
      </c>
      <c r="D10">
        <v>163</v>
      </c>
      <c r="E10">
        <v>60</v>
      </c>
      <c r="F10">
        <v>172.5</v>
      </c>
      <c r="G10" s="112">
        <v>4.0759999999999996</v>
      </c>
      <c r="H10" s="113">
        <v>67.933333333333337</v>
      </c>
      <c r="I10" s="35">
        <v>330</v>
      </c>
      <c r="J10" s="2">
        <v>5.5</v>
      </c>
      <c r="K10">
        <v>170</v>
      </c>
      <c r="L10">
        <v>88</v>
      </c>
      <c r="M10">
        <v>75</v>
      </c>
      <c r="N10">
        <v>738</v>
      </c>
      <c r="O10" s="2">
        <v>12.3</v>
      </c>
      <c r="P10" s="34">
        <v>185.25</v>
      </c>
      <c r="Q10" s="2">
        <v>56.13636363636364</v>
      </c>
      <c r="R10" s="23">
        <v>210</v>
      </c>
      <c r="S10" s="2">
        <v>63.636363636363633</v>
      </c>
      <c r="T10" s="25">
        <v>235</v>
      </c>
      <c r="U10" s="2">
        <v>71.212121212121218</v>
      </c>
      <c r="V10" s="28">
        <v>255</v>
      </c>
      <c r="W10" s="2">
        <v>77.272727272727266</v>
      </c>
      <c r="X10">
        <v>11</v>
      </c>
      <c r="Y10">
        <v>3.5</v>
      </c>
      <c r="AA10">
        <v>315</v>
      </c>
    </row>
    <row r="12" spans="1:28" x14ac:dyDescent="0.3">
      <c r="B12" s="1" t="s">
        <v>243</v>
      </c>
      <c r="C12" s="2">
        <f t="shared" ref="C12:Y12" si="0">AVERAGE(C2:C10)</f>
        <v>32.555555555555557</v>
      </c>
      <c r="D12" s="2">
        <f t="shared" si="0"/>
        <v>176.33333333333334</v>
      </c>
      <c r="E12" s="2">
        <f t="shared" si="0"/>
        <v>70.444444444444443</v>
      </c>
      <c r="F12" s="2">
        <f t="shared" si="0"/>
        <v>173.05555555555554</v>
      </c>
      <c r="G12" s="124">
        <f t="shared" si="0"/>
        <v>4.5436666666666667</v>
      </c>
      <c r="H12" s="2">
        <f t="shared" si="0"/>
        <v>72.059028237752926</v>
      </c>
      <c r="I12" s="2">
        <f t="shared" si="0"/>
        <v>417.77777777777777</v>
      </c>
      <c r="J12" s="2">
        <f t="shared" si="0"/>
        <v>5.9578850981341303</v>
      </c>
      <c r="K12" s="2">
        <f t="shared" si="0"/>
        <v>186.66666666666666</v>
      </c>
      <c r="L12" s="2">
        <f t="shared" si="0"/>
        <v>88.444444444444443</v>
      </c>
      <c r="M12" s="2">
        <f t="shared" si="0"/>
        <v>69.111111111111114</v>
      </c>
      <c r="N12" s="2">
        <f t="shared" si="0"/>
        <v>794.11111111111109</v>
      </c>
      <c r="O12" s="2">
        <f t="shared" si="0"/>
        <v>11.313539224685993</v>
      </c>
      <c r="P12" s="2">
        <f t="shared" si="0"/>
        <v>258.41666666666669</v>
      </c>
      <c r="Q12" s="2">
        <f t="shared" si="0"/>
        <v>61.619821402430098</v>
      </c>
      <c r="R12" s="2">
        <f t="shared" si="0"/>
        <v>289.44444444444446</v>
      </c>
      <c r="S12" s="2">
        <f t="shared" si="0"/>
        <v>69.007197579661351</v>
      </c>
      <c r="T12" s="2">
        <f t="shared" si="0"/>
        <v>317.5</v>
      </c>
      <c r="U12" s="2">
        <f t="shared" si="0"/>
        <v>75.866222612599429</v>
      </c>
      <c r="V12" s="2">
        <f t="shared" si="0"/>
        <v>341.11111111111109</v>
      </c>
      <c r="W12" s="2">
        <f t="shared" si="0"/>
        <v>81.497291758161325</v>
      </c>
      <c r="X12" s="2">
        <f t="shared" si="0"/>
        <v>10.888888888888889</v>
      </c>
      <c r="Y12" s="2">
        <f t="shared" si="0"/>
        <v>6</v>
      </c>
      <c r="Z12" s="2"/>
      <c r="AB12" s="2"/>
    </row>
    <row r="13" spans="1:28" x14ac:dyDescent="0.3">
      <c r="B13" s="1" t="s">
        <v>244</v>
      </c>
      <c r="C13" s="2">
        <f>_xlfn.STDEV.P(C2:C10)</f>
        <v>6.0756547175521405</v>
      </c>
      <c r="D13" s="2">
        <f t="shared" ref="D13:Y13" si="1">_xlfn.STDEV.P(D2:D10)</f>
        <v>9.428090415820634</v>
      </c>
      <c r="E13" s="2">
        <f t="shared" si="1"/>
        <v>10.35064261140997</v>
      </c>
      <c r="F13" s="2">
        <f t="shared" si="1"/>
        <v>1.5713484026367723</v>
      </c>
      <c r="G13" s="124">
        <f t="shared" si="1"/>
        <v>0.78910934321902348</v>
      </c>
      <c r="H13" s="2">
        <f t="shared" si="1"/>
        <v>3.9729695575643493</v>
      </c>
      <c r="I13" s="2">
        <f t="shared" si="1"/>
        <v>58.26715823167509</v>
      </c>
      <c r="J13" s="2">
        <f t="shared" si="1"/>
        <v>0.44169066124557377</v>
      </c>
      <c r="K13" s="2">
        <f t="shared" si="1"/>
        <v>9.7182531580755001</v>
      </c>
      <c r="L13" s="2">
        <f t="shared" si="1"/>
        <v>5.9835164523716715</v>
      </c>
      <c r="M13" s="2">
        <f t="shared" si="1"/>
        <v>8.3192473543710594</v>
      </c>
      <c r="N13" s="2">
        <f t="shared" si="1"/>
        <v>110.23151842518087</v>
      </c>
      <c r="O13" s="2">
        <f t="shared" si="1"/>
        <v>0.74968371614168416</v>
      </c>
      <c r="P13" s="2">
        <f t="shared" si="1"/>
        <v>45.061994333732429</v>
      </c>
      <c r="Q13" s="2">
        <f t="shared" si="1"/>
        <v>3.8136039930550845</v>
      </c>
      <c r="R13" s="2">
        <f t="shared" si="1"/>
        <v>51.340066898435204</v>
      </c>
      <c r="S13" s="2">
        <f t="shared" si="1"/>
        <v>4.180578834943022</v>
      </c>
      <c r="T13" s="2">
        <f t="shared" si="1"/>
        <v>51.288941844763727</v>
      </c>
      <c r="U13" s="2">
        <f t="shared" si="1"/>
        <v>3.851451550660097</v>
      </c>
      <c r="V13" s="2">
        <f t="shared" si="1"/>
        <v>53.943271528614915</v>
      </c>
      <c r="W13" s="2">
        <f t="shared" si="1"/>
        <v>3.2122249911217104</v>
      </c>
      <c r="X13" s="2">
        <f t="shared" si="1"/>
        <v>4.9090493409721159</v>
      </c>
      <c r="Y13" s="2">
        <f t="shared" si="1"/>
        <v>3.8369548110737792</v>
      </c>
    </row>
    <row r="17" spans="1:25" x14ac:dyDescent="0.3">
      <c r="A17" s="122">
        <v>2</v>
      </c>
      <c r="B17" t="s">
        <v>27</v>
      </c>
      <c r="C17">
        <v>27</v>
      </c>
      <c r="D17">
        <v>158</v>
      </c>
      <c r="E17">
        <v>54</v>
      </c>
      <c r="F17">
        <v>170</v>
      </c>
      <c r="G17" s="32">
        <v>3.7360000000000002</v>
      </c>
      <c r="H17" s="2">
        <v>69.185185185185176</v>
      </c>
      <c r="I17" s="35">
        <v>330</v>
      </c>
      <c r="J17" s="2">
        <v>6.1111111111111107</v>
      </c>
      <c r="K17">
        <v>175</v>
      </c>
      <c r="L17">
        <v>99</v>
      </c>
      <c r="M17">
        <v>84</v>
      </c>
      <c r="N17">
        <v>641</v>
      </c>
      <c r="O17" s="2">
        <v>11.87037037037037</v>
      </c>
      <c r="P17" s="34">
        <v>200.25</v>
      </c>
      <c r="Q17" s="2">
        <v>60.68181818181818</v>
      </c>
      <c r="R17" s="23">
        <v>225</v>
      </c>
      <c r="S17" s="2">
        <v>68.181818181818173</v>
      </c>
      <c r="T17" s="25">
        <v>255</v>
      </c>
      <c r="U17" s="2">
        <v>77.272727272727266</v>
      </c>
      <c r="V17" s="28">
        <v>285</v>
      </c>
      <c r="W17" s="2">
        <v>86.36363636363636</v>
      </c>
      <c r="X17">
        <v>18</v>
      </c>
      <c r="Y17">
        <v>18</v>
      </c>
    </row>
    <row r="18" spans="1:25" x14ac:dyDescent="0.3">
      <c r="A18" s="122">
        <v>3</v>
      </c>
      <c r="B18" t="s">
        <v>27</v>
      </c>
      <c r="C18">
        <v>33</v>
      </c>
      <c r="D18">
        <v>163</v>
      </c>
      <c r="E18">
        <v>48</v>
      </c>
      <c r="F18">
        <v>170</v>
      </c>
      <c r="G18" s="32">
        <v>3.6040000000000001</v>
      </c>
      <c r="H18" s="2">
        <v>75.083333333333329</v>
      </c>
      <c r="I18" s="35">
        <v>300</v>
      </c>
      <c r="J18" s="2">
        <v>6.25</v>
      </c>
      <c r="K18">
        <v>165</v>
      </c>
      <c r="L18">
        <v>96</v>
      </c>
      <c r="M18">
        <v>90</v>
      </c>
      <c r="N18">
        <v>673</v>
      </c>
      <c r="O18" s="2">
        <v>14.020833333333334</v>
      </c>
      <c r="P18" s="34">
        <v>180</v>
      </c>
      <c r="Q18" s="2">
        <v>60</v>
      </c>
      <c r="R18" s="23">
        <v>200</v>
      </c>
      <c r="S18" s="2">
        <v>66.666666666666657</v>
      </c>
      <c r="T18" s="25">
        <v>225</v>
      </c>
      <c r="U18" s="2">
        <v>75</v>
      </c>
      <c r="V18" s="28">
        <v>240</v>
      </c>
      <c r="W18" s="2">
        <v>80</v>
      </c>
      <c r="X18">
        <v>16</v>
      </c>
      <c r="Y18">
        <v>15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8CBC-FBCA-41BA-B6FE-23AA7FB0F604}">
  <dimension ref="A1:AV15"/>
  <sheetViews>
    <sheetView zoomScale="95" zoomScaleNormal="115" workbookViewId="0">
      <selection activeCell="O19" sqref="O19"/>
    </sheetView>
  </sheetViews>
  <sheetFormatPr baseColWidth="10" defaultRowHeight="15.05" x14ac:dyDescent="0.3"/>
  <cols>
    <col min="2" max="2" width="1.33203125" customWidth="1"/>
    <col min="3" max="3" width="12.5546875" customWidth="1"/>
    <col min="4" max="4" width="1.33203125" customWidth="1"/>
  </cols>
  <sheetData>
    <row r="1" spans="1:48" x14ac:dyDescent="0.3">
      <c r="A1" s="14"/>
      <c r="B1" s="47"/>
      <c r="C1" s="54" t="s">
        <v>97</v>
      </c>
      <c r="D1" s="47"/>
      <c r="E1" s="17" t="s">
        <v>46</v>
      </c>
      <c r="F1" s="17" t="s">
        <v>47</v>
      </c>
      <c r="G1" s="17" t="s">
        <v>74</v>
      </c>
      <c r="H1" s="17" t="s">
        <v>85</v>
      </c>
      <c r="I1" s="17" t="s">
        <v>107</v>
      </c>
      <c r="J1" s="17" t="s">
        <v>121</v>
      </c>
      <c r="K1" s="17" t="s">
        <v>133</v>
      </c>
      <c r="L1" s="17" t="s">
        <v>187</v>
      </c>
      <c r="M1" s="17" t="s">
        <v>231</v>
      </c>
      <c r="N1" s="17" t="s">
        <v>209</v>
      </c>
      <c r="O1" s="17" t="s">
        <v>191</v>
      </c>
      <c r="P1" s="17" t="s">
        <v>219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9"/>
    </row>
    <row r="2" spans="1:48" x14ac:dyDescent="0.3">
      <c r="A2" s="12" t="str" cm="1">
        <f t="array" aca="1" ref="A2" ca="1">INDEX(A9:A10,RANDBETWEEN(1,2))</f>
        <v>sitzen</v>
      </c>
      <c r="B2" s="20"/>
      <c r="C2" s="48" t="s">
        <v>92</v>
      </c>
      <c r="D2" s="20"/>
      <c r="E2" s="64" t="s">
        <v>35</v>
      </c>
      <c r="F2" s="64" t="s">
        <v>35</v>
      </c>
      <c r="G2" s="64" t="s">
        <v>36</v>
      </c>
      <c r="H2" s="65" t="s">
        <v>35</v>
      </c>
      <c r="I2" s="78" t="s">
        <v>35</v>
      </c>
      <c r="J2" s="77" t="s">
        <v>35</v>
      </c>
      <c r="K2" s="64"/>
      <c r="L2" s="64" t="s">
        <v>36</v>
      </c>
      <c r="M2" s="64" t="s">
        <v>35</v>
      </c>
      <c r="N2" s="64" t="s">
        <v>36</v>
      </c>
      <c r="O2" s="64" t="s">
        <v>36</v>
      </c>
      <c r="P2" s="64" t="s">
        <v>35</v>
      </c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</row>
    <row r="3" spans="1:48" x14ac:dyDescent="0.3">
      <c r="A3" s="13" t="str">
        <f ca="1">IF(A2="sitzen","stehen","sitzen")</f>
        <v>stehen</v>
      </c>
      <c r="B3" s="20"/>
      <c r="C3" s="52" t="s">
        <v>92</v>
      </c>
      <c r="D3" s="20"/>
      <c r="E3" s="66" t="s">
        <v>36</v>
      </c>
      <c r="F3" s="67" t="s">
        <v>36</v>
      </c>
      <c r="G3" s="67" t="s">
        <v>35</v>
      </c>
      <c r="H3" s="68" t="s">
        <v>36</v>
      </c>
      <c r="I3" s="67" t="s">
        <v>36</v>
      </c>
      <c r="J3" s="67" t="s">
        <v>36</v>
      </c>
      <c r="K3" s="67"/>
      <c r="L3" s="67" t="s">
        <v>35</v>
      </c>
      <c r="M3" s="67" t="s">
        <v>36</v>
      </c>
      <c r="N3" s="67" t="s">
        <v>35</v>
      </c>
      <c r="O3" s="67" t="s">
        <v>35</v>
      </c>
      <c r="P3" s="67" t="s">
        <v>36</v>
      </c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</row>
    <row r="4" spans="1:48" x14ac:dyDescent="0.3">
      <c r="A4" s="12" t="str" cm="1">
        <f t="array" aca="1" ref="A4" ca="1">INDEX(A9:A10,RANDBETWEEN(1,2))</f>
        <v>stehen</v>
      </c>
      <c r="B4" s="20"/>
      <c r="C4" s="49" t="s">
        <v>93</v>
      </c>
      <c r="D4" s="20"/>
      <c r="E4" s="23" t="s">
        <v>36</v>
      </c>
      <c r="F4" s="23" t="s">
        <v>36</v>
      </c>
      <c r="G4" s="23" t="s">
        <v>35</v>
      </c>
      <c r="H4" s="69" t="s">
        <v>35</v>
      </c>
      <c r="I4" s="79" t="s">
        <v>36</v>
      </c>
      <c r="J4" s="79" t="s">
        <v>35</v>
      </c>
      <c r="K4" s="23"/>
      <c r="L4" s="23" t="s">
        <v>36</v>
      </c>
      <c r="M4" s="23" t="s">
        <v>36</v>
      </c>
      <c r="N4" s="23" t="s">
        <v>35</v>
      </c>
      <c r="O4" s="23" t="s">
        <v>35</v>
      </c>
      <c r="P4" s="23" t="s">
        <v>36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48" x14ac:dyDescent="0.3">
      <c r="A5" s="13" t="str">
        <f ca="1">IF(A4="sitzen","stehen","sitzen")</f>
        <v>sitzen</v>
      </c>
      <c r="B5" s="20"/>
      <c r="C5" s="53" t="s">
        <v>93</v>
      </c>
      <c r="D5" s="20"/>
      <c r="E5" s="70" t="s">
        <v>35</v>
      </c>
      <c r="F5" s="71" t="s">
        <v>35</v>
      </c>
      <c r="G5" s="71" t="s">
        <v>36</v>
      </c>
      <c r="H5" s="72" t="s">
        <v>36</v>
      </c>
      <c r="I5" s="71" t="s">
        <v>35</v>
      </c>
      <c r="J5" s="71" t="s">
        <v>36</v>
      </c>
      <c r="K5" s="71"/>
      <c r="L5" s="71" t="s">
        <v>35</v>
      </c>
      <c r="M5" s="71" t="s">
        <v>35</v>
      </c>
      <c r="N5" s="71" t="s">
        <v>36</v>
      </c>
      <c r="O5" s="71" t="s">
        <v>36</v>
      </c>
      <c r="P5" s="71" t="s">
        <v>35</v>
      </c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</row>
    <row r="6" spans="1:48" x14ac:dyDescent="0.3">
      <c r="A6" s="12" t="str" cm="1">
        <f t="array" aca="1" ref="A6" ca="1">INDEX(A9:A10,RANDBETWEEN(1,2))</f>
        <v>sitzen</v>
      </c>
      <c r="B6" s="20"/>
      <c r="C6" s="50" t="s">
        <v>94</v>
      </c>
      <c r="D6" s="20"/>
      <c r="E6" s="25" t="s">
        <v>36</v>
      </c>
      <c r="F6" s="25" t="s">
        <v>36</v>
      </c>
      <c r="G6" s="25" t="s">
        <v>36</v>
      </c>
      <c r="H6" s="73" t="s">
        <v>35</v>
      </c>
      <c r="I6" s="76" t="s">
        <v>35</v>
      </c>
      <c r="J6" s="76" t="s">
        <v>36</v>
      </c>
      <c r="K6" s="25"/>
      <c r="L6" s="25" t="s">
        <v>35</v>
      </c>
      <c r="M6" s="25" t="s">
        <v>36</v>
      </c>
      <c r="N6" s="25" t="s">
        <v>35</v>
      </c>
      <c r="O6" s="25" t="s">
        <v>36</v>
      </c>
      <c r="P6" s="25" t="s">
        <v>35</v>
      </c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</row>
    <row r="7" spans="1:48" x14ac:dyDescent="0.3">
      <c r="A7" s="13" t="str">
        <f ca="1">IF(A6="sitzen","stehen","sitzen")</f>
        <v>stehen</v>
      </c>
      <c r="B7" s="20"/>
      <c r="C7" s="51" t="s">
        <v>94</v>
      </c>
      <c r="D7" s="20"/>
      <c r="E7" s="74" t="s">
        <v>35</v>
      </c>
      <c r="F7" s="74" t="s">
        <v>37</v>
      </c>
      <c r="G7" s="74" t="s">
        <v>35</v>
      </c>
      <c r="H7" s="75" t="s">
        <v>36</v>
      </c>
      <c r="I7" s="74" t="s">
        <v>36</v>
      </c>
      <c r="J7" s="74" t="s">
        <v>35</v>
      </c>
      <c r="K7" s="74"/>
      <c r="L7" s="74" t="s">
        <v>36</v>
      </c>
      <c r="M7" s="74" t="s">
        <v>35</v>
      </c>
      <c r="N7" s="74" t="s">
        <v>36</v>
      </c>
      <c r="O7" s="74" t="s">
        <v>35</v>
      </c>
      <c r="P7" s="74" t="s">
        <v>36</v>
      </c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</row>
    <row r="8" spans="1:48" s="16" customFormat="1" ht="6.55" customHeight="1" x14ac:dyDescent="0.3">
      <c r="M8" s="117"/>
    </row>
    <row r="9" spans="1:48" x14ac:dyDescent="0.3">
      <c r="A9" s="15" t="s">
        <v>36</v>
      </c>
      <c r="M9" s="1" t="s">
        <v>230</v>
      </c>
      <c r="O9" s="29" t="s">
        <v>212</v>
      </c>
    </row>
    <row r="10" spans="1:48" x14ac:dyDescent="0.3">
      <c r="A10" s="15" t="s">
        <v>35</v>
      </c>
      <c r="E10" t="s">
        <v>188</v>
      </c>
      <c r="M10" s="64" t="s">
        <v>36</v>
      </c>
      <c r="O10" s="114" t="s">
        <v>36</v>
      </c>
    </row>
    <row r="11" spans="1:48" x14ac:dyDescent="0.3">
      <c r="E11" t="s">
        <v>36</v>
      </c>
      <c r="F11" t="s">
        <v>35</v>
      </c>
      <c r="G11" t="s">
        <v>189</v>
      </c>
      <c r="M11" s="64" t="s">
        <v>35</v>
      </c>
      <c r="O11" s="114" t="s">
        <v>35</v>
      </c>
    </row>
    <row r="12" spans="1:48" x14ac:dyDescent="0.3">
      <c r="E12">
        <f>COUNTIF(E4:R4,"sitzen")+COUNTIF(E6:R6,"sitzen")+COUNTIF(E2:R2,"sitzen")</f>
        <v>16</v>
      </c>
      <c r="F12">
        <f>COUNTIF(E4:R4,"stehen")+COUNTIF(E6:R6,"stehen")+COUNTIF(E2:R2,"stehen")</f>
        <v>17</v>
      </c>
      <c r="G12">
        <f>E12+F12</f>
        <v>33</v>
      </c>
      <c r="M12" s="23" t="s">
        <v>36</v>
      </c>
    </row>
    <row r="13" spans="1:48" x14ac:dyDescent="0.3">
      <c r="E13" s="96">
        <f>E12/G12</f>
        <v>0.48484848484848486</v>
      </c>
      <c r="F13" s="96">
        <f>F12/G12</f>
        <v>0.51515151515151514</v>
      </c>
      <c r="M13" s="23" t="s">
        <v>35</v>
      </c>
    </row>
    <row r="14" spans="1:48" x14ac:dyDescent="0.3">
      <c r="G14" t="s">
        <v>40</v>
      </c>
      <c r="J14" s="1"/>
      <c r="M14" s="25" t="s">
        <v>36</v>
      </c>
    </row>
    <row r="15" spans="1:48" x14ac:dyDescent="0.3">
      <c r="M15" s="25" t="s">
        <v>35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Makro2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A17FF-3407-4299-9DBD-8AEA1F722C5A}">
  <dimension ref="A1:AQ90"/>
  <sheetViews>
    <sheetView topLeftCell="AD21" zoomScale="55" zoomScaleNormal="55" workbookViewId="0">
      <selection activeCell="AN2" sqref="AN2:AN67"/>
    </sheetView>
  </sheetViews>
  <sheetFormatPr baseColWidth="10" defaultRowHeight="15.05" x14ac:dyDescent="0.3"/>
  <cols>
    <col min="1" max="1" width="5.77734375" bestFit="1" customWidth="1"/>
    <col min="2" max="2" width="23.33203125" bestFit="1" customWidth="1"/>
    <col min="3" max="3" width="10.44140625" bestFit="1" customWidth="1"/>
    <col min="4" max="4" width="8.88671875" bestFit="1" customWidth="1"/>
    <col min="6" max="11" width="11.5546875" style="31"/>
    <col min="18" max="18" width="12.21875" bestFit="1" customWidth="1"/>
    <col min="19" max="19" width="11.33203125" bestFit="1" customWidth="1"/>
    <col min="20" max="22" width="11.33203125" customWidth="1"/>
    <col min="28" max="28" width="2.21875" style="30" customWidth="1"/>
    <col min="29" max="29" width="8.77734375" bestFit="1" customWidth="1"/>
    <col min="30" max="30" width="30.44140625" bestFit="1" customWidth="1"/>
    <col min="31" max="31" width="13.6640625" bestFit="1" customWidth="1"/>
    <col min="32" max="32" width="12.21875" bestFit="1" customWidth="1"/>
    <col min="33" max="33" width="17.6640625" bestFit="1" customWidth="1"/>
    <col min="34" max="34" width="13" bestFit="1" customWidth="1"/>
    <col min="35" max="35" width="11.44140625" bestFit="1" customWidth="1"/>
    <col min="36" max="36" width="12" bestFit="1" customWidth="1"/>
    <col min="37" max="37" width="10.21875" bestFit="1" customWidth="1"/>
    <col min="38" max="38" width="9.5546875" bestFit="1" customWidth="1"/>
    <col min="39" max="39" width="13.44140625" style="31" bestFit="1" customWidth="1"/>
    <col min="40" max="40" width="13.88671875" bestFit="1" customWidth="1"/>
    <col min="41" max="41" width="12.21875" bestFit="1" customWidth="1"/>
    <col min="42" max="42" width="10.44140625" bestFit="1" customWidth="1"/>
    <col min="43" max="43" width="10.6640625" bestFit="1" customWidth="1"/>
  </cols>
  <sheetData>
    <row r="1" spans="1:43" x14ac:dyDescent="0.3">
      <c r="A1" s="29" t="s">
        <v>49</v>
      </c>
      <c r="B1" s="29" t="s">
        <v>48</v>
      </c>
      <c r="C1" s="1" t="s">
        <v>46</v>
      </c>
      <c r="D1" s="1" t="s">
        <v>47</v>
      </c>
      <c r="E1" s="1" t="s">
        <v>74</v>
      </c>
      <c r="F1" s="45" t="s">
        <v>82</v>
      </c>
      <c r="G1" s="45" t="s">
        <v>83</v>
      </c>
      <c r="H1" s="45" t="s">
        <v>85</v>
      </c>
      <c r="I1" s="45" t="s">
        <v>90</v>
      </c>
      <c r="J1" s="45" t="s">
        <v>105</v>
      </c>
      <c r="K1" s="45" t="s">
        <v>115</v>
      </c>
      <c r="L1" s="1" t="s">
        <v>107</v>
      </c>
      <c r="M1" s="1" t="s">
        <v>114</v>
      </c>
      <c r="N1" s="1" t="s">
        <v>118</v>
      </c>
      <c r="O1" s="1" t="s">
        <v>122</v>
      </c>
      <c r="P1" s="1" t="s">
        <v>133</v>
      </c>
      <c r="Q1" s="1" t="s">
        <v>143</v>
      </c>
      <c r="R1" s="1" t="s">
        <v>144</v>
      </c>
      <c r="S1" s="1" t="s">
        <v>145</v>
      </c>
      <c r="T1" s="1" t="s">
        <v>168</v>
      </c>
      <c r="U1" s="1" t="s">
        <v>169</v>
      </c>
      <c r="V1" s="1" t="s">
        <v>174</v>
      </c>
      <c r="W1" s="1" t="s">
        <v>185</v>
      </c>
      <c r="X1" s="1" t="s">
        <v>191</v>
      </c>
      <c r="Y1" s="1" t="s">
        <v>219</v>
      </c>
      <c r="Z1" s="1" t="s">
        <v>220</v>
      </c>
      <c r="AA1" s="1"/>
      <c r="AC1" s="29" t="s">
        <v>50</v>
      </c>
      <c r="AD1" s="29" t="s">
        <v>48</v>
      </c>
      <c r="AE1" s="1" t="s">
        <v>46</v>
      </c>
      <c r="AF1" s="1" t="s">
        <v>47</v>
      </c>
      <c r="AG1" s="1" t="s">
        <v>74</v>
      </c>
      <c r="AH1" s="1" t="s">
        <v>85</v>
      </c>
      <c r="AI1" s="1" t="s">
        <v>107</v>
      </c>
      <c r="AJ1" s="1" t="s">
        <v>121</v>
      </c>
      <c r="AK1" s="1" t="s">
        <v>133</v>
      </c>
      <c r="AL1" s="1" t="s">
        <v>187</v>
      </c>
      <c r="AM1" s="43" t="s">
        <v>234</v>
      </c>
      <c r="AN1" s="1" t="s">
        <v>235</v>
      </c>
      <c r="AO1" s="1" t="s">
        <v>174</v>
      </c>
      <c r="AP1" s="1" t="s">
        <v>191</v>
      </c>
      <c r="AQ1" s="1" t="s">
        <v>219</v>
      </c>
    </row>
    <row r="2" spans="1:43" x14ac:dyDescent="0.3">
      <c r="B2" t="s">
        <v>51</v>
      </c>
      <c r="C2" s="44">
        <v>1.6</v>
      </c>
      <c r="D2" s="44">
        <v>2.19</v>
      </c>
      <c r="E2" s="44">
        <v>2.14</v>
      </c>
      <c r="F2" s="57">
        <v>1.89</v>
      </c>
      <c r="G2" s="57">
        <v>1.89</v>
      </c>
      <c r="H2" s="57">
        <v>2.0099999999999998</v>
      </c>
      <c r="I2" s="58" t="e">
        <v>#N/A</v>
      </c>
      <c r="J2" s="58">
        <v>2.71</v>
      </c>
      <c r="K2" s="58">
        <v>2.16</v>
      </c>
      <c r="L2" s="11">
        <v>1.93</v>
      </c>
      <c r="M2" s="11">
        <v>2.38</v>
      </c>
      <c r="N2" s="11">
        <v>2.39</v>
      </c>
      <c r="O2" s="11">
        <v>2.36</v>
      </c>
      <c r="P2" s="11">
        <v>2.54</v>
      </c>
      <c r="Q2" s="11">
        <v>2.78</v>
      </c>
      <c r="R2" s="58">
        <v>2.73</v>
      </c>
      <c r="S2" s="58">
        <v>3.01</v>
      </c>
      <c r="T2" s="58"/>
      <c r="U2" s="57">
        <v>2.5499999999999998</v>
      </c>
      <c r="V2" s="61" t="e">
        <v>#N/A</v>
      </c>
      <c r="W2" s="61" t="e">
        <v>#N/A</v>
      </c>
      <c r="X2" s="57">
        <v>0.82</v>
      </c>
      <c r="Y2" s="61">
        <v>0.86</v>
      </c>
      <c r="Z2" s="61">
        <v>1.07</v>
      </c>
      <c r="AA2" s="61"/>
      <c r="AD2" t="s">
        <v>51</v>
      </c>
      <c r="AE2" s="55">
        <v>2.0099999999999998</v>
      </c>
      <c r="AF2" s="11">
        <v>1.65</v>
      </c>
      <c r="AG2" s="11">
        <v>2.25</v>
      </c>
      <c r="AH2" s="11">
        <v>2.19</v>
      </c>
      <c r="AI2" s="11">
        <v>2.79</v>
      </c>
      <c r="AJ2" s="11">
        <v>1.03</v>
      </c>
      <c r="AK2" s="11"/>
      <c r="AL2" s="11" t="e">
        <v>#N/A</v>
      </c>
      <c r="AM2" s="59" t="e">
        <v>#N/A</v>
      </c>
      <c r="AN2" s="11">
        <v>1.1100000000000001</v>
      </c>
      <c r="AO2" s="11">
        <v>0.78</v>
      </c>
      <c r="AP2" s="11">
        <v>1.05</v>
      </c>
      <c r="AQ2">
        <v>1.47</v>
      </c>
    </row>
    <row r="3" spans="1:43" x14ac:dyDescent="0.3">
      <c r="B3" t="s">
        <v>61</v>
      </c>
      <c r="C3" s="44">
        <v>1.69</v>
      </c>
      <c r="D3" s="44">
        <v>1.48</v>
      </c>
      <c r="E3" s="44">
        <v>2.86</v>
      </c>
      <c r="F3" s="57">
        <v>1.81</v>
      </c>
      <c r="G3" s="57">
        <v>1.96</v>
      </c>
      <c r="H3" s="57">
        <v>2.15</v>
      </c>
      <c r="I3" s="58" t="e">
        <v>#N/A</v>
      </c>
      <c r="J3" s="58">
        <v>2.52</v>
      </c>
      <c r="K3" s="58">
        <v>2.12</v>
      </c>
      <c r="L3" s="11" t="e">
        <v>#N/A</v>
      </c>
      <c r="M3" s="11">
        <v>2.11</v>
      </c>
      <c r="N3" s="11">
        <v>2.41</v>
      </c>
      <c r="O3" s="11">
        <v>2.38</v>
      </c>
      <c r="P3" s="11">
        <v>2.58</v>
      </c>
      <c r="Q3" s="11">
        <v>2.59</v>
      </c>
      <c r="R3" s="58">
        <v>2.56</v>
      </c>
      <c r="S3" s="58">
        <v>3.02</v>
      </c>
      <c r="T3" s="58"/>
      <c r="U3" s="61" t="e">
        <v>#N/A</v>
      </c>
      <c r="V3" s="61" t="e">
        <v>#N/A</v>
      </c>
      <c r="W3" s="61" t="e">
        <v>#N/A</v>
      </c>
      <c r="X3" s="61" t="e">
        <v>#N/A</v>
      </c>
      <c r="Y3" s="61">
        <v>0.61</v>
      </c>
      <c r="Z3" s="61">
        <v>0.97</v>
      </c>
      <c r="AA3" s="61"/>
      <c r="AD3" t="s">
        <v>52</v>
      </c>
      <c r="AE3" s="55">
        <v>2.87</v>
      </c>
      <c r="AF3" s="11">
        <v>1.92</v>
      </c>
      <c r="AG3" s="11">
        <v>2.25</v>
      </c>
      <c r="AH3" s="11">
        <v>2.2999999999999998</v>
      </c>
      <c r="AI3" s="11">
        <v>3.12</v>
      </c>
      <c r="AJ3" s="11">
        <v>1.54</v>
      </c>
      <c r="AK3" s="11"/>
      <c r="AL3" s="11">
        <v>2.79</v>
      </c>
      <c r="AM3" s="59" t="e">
        <v>#N/A</v>
      </c>
      <c r="AN3" s="11">
        <v>0.82</v>
      </c>
      <c r="AO3" s="11">
        <v>0.51</v>
      </c>
      <c r="AP3" s="11">
        <v>0.74</v>
      </c>
      <c r="AQ3">
        <v>1.1000000000000001</v>
      </c>
    </row>
    <row r="4" spans="1:43" x14ac:dyDescent="0.3">
      <c r="C4" s="44"/>
      <c r="D4" s="44"/>
      <c r="E4" s="44"/>
      <c r="F4" s="57"/>
      <c r="G4" s="57"/>
      <c r="H4" s="57"/>
      <c r="I4" s="58"/>
      <c r="J4" s="58"/>
      <c r="K4" s="58"/>
      <c r="L4" s="11"/>
      <c r="M4" s="11"/>
      <c r="N4" s="11"/>
      <c r="O4" s="11"/>
      <c r="P4" s="11"/>
      <c r="Q4" s="11"/>
      <c r="R4" s="58"/>
      <c r="S4" s="58"/>
      <c r="T4" s="58"/>
      <c r="U4" s="57"/>
      <c r="V4" s="57"/>
      <c r="W4" s="57"/>
      <c r="X4" s="57"/>
      <c r="Y4" s="57"/>
      <c r="Z4" s="57"/>
      <c r="AA4" s="57"/>
      <c r="AE4" s="11"/>
      <c r="AF4" s="11"/>
      <c r="AG4" s="11"/>
      <c r="AH4" s="11"/>
      <c r="AI4" s="11"/>
      <c r="AJ4" s="11"/>
      <c r="AK4" s="11"/>
      <c r="AL4" s="11"/>
      <c r="AM4" s="59"/>
      <c r="AN4" s="11"/>
      <c r="AO4" s="11"/>
      <c r="AP4" s="11"/>
    </row>
    <row r="5" spans="1:43" x14ac:dyDescent="0.3">
      <c r="B5" t="s">
        <v>62</v>
      </c>
      <c r="C5" s="44">
        <v>2.16</v>
      </c>
      <c r="D5" s="44">
        <v>1.8</v>
      </c>
      <c r="E5" s="44">
        <v>2.48</v>
      </c>
      <c r="F5" s="57">
        <v>3.27</v>
      </c>
      <c r="G5" s="57">
        <v>2.48</v>
      </c>
      <c r="H5" s="57">
        <v>3.05</v>
      </c>
      <c r="I5" s="58">
        <v>2.5299999999999998</v>
      </c>
      <c r="J5" s="58">
        <v>2.89</v>
      </c>
      <c r="K5" s="58">
        <v>3.04</v>
      </c>
      <c r="L5" s="11">
        <v>2.77</v>
      </c>
      <c r="M5" s="11">
        <v>2.9</v>
      </c>
      <c r="N5" s="11">
        <v>3.03</v>
      </c>
      <c r="O5" s="11">
        <v>2.71</v>
      </c>
      <c r="P5" s="11">
        <v>3.25</v>
      </c>
      <c r="Q5" s="11">
        <v>3.27</v>
      </c>
      <c r="R5" s="58">
        <v>3.44</v>
      </c>
      <c r="S5" s="58">
        <v>6.28</v>
      </c>
      <c r="T5" s="58">
        <v>3.29</v>
      </c>
      <c r="U5" s="57">
        <v>3.47</v>
      </c>
      <c r="V5" s="57">
        <v>3.73</v>
      </c>
      <c r="W5" s="57">
        <v>4.3099999999999996</v>
      </c>
      <c r="X5" s="57">
        <v>3.28</v>
      </c>
      <c r="Y5" s="57">
        <v>2.1800000000000002</v>
      </c>
      <c r="Z5" s="57">
        <v>1.99</v>
      </c>
      <c r="AA5" s="57"/>
      <c r="AD5" t="s">
        <v>63</v>
      </c>
      <c r="AE5" s="55">
        <v>4.5599999999999996</v>
      </c>
      <c r="AF5" s="11">
        <v>2.42</v>
      </c>
      <c r="AG5" s="11">
        <v>4.3899999999999997</v>
      </c>
      <c r="AH5" s="11">
        <v>7.82</v>
      </c>
      <c r="AI5" s="11">
        <v>4.38</v>
      </c>
      <c r="AJ5" s="11">
        <v>3.58</v>
      </c>
      <c r="AK5" s="11"/>
      <c r="AL5" s="11">
        <v>4.1100000000000003</v>
      </c>
      <c r="AM5" s="59">
        <v>4.63</v>
      </c>
      <c r="AN5" s="11">
        <v>6.18</v>
      </c>
      <c r="AO5" s="11">
        <v>4.04</v>
      </c>
      <c r="AP5" s="11">
        <v>3.57</v>
      </c>
      <c r="AQ5" s="11">
        <v>5.48</v>
      </c>
    </row>
    <row r="6" spans="1:43" x14ac:dyDescent="0.3">
      <c r="C6" s="44">
        <v>3.5</v>
      </c>
      <c r="D6" s="44">
        <v>3.22</v>
      </c>
      <c r="E6" s="44">
        <v>4.82</v>
      </c>
      <c r="F6" s="57">
        <v>5.44</v>
      </c>
      <c r="G6" s="57">
        <v>3.96</v>
      </c>
      <c r="H6" s="57">
        <v>3.76</v>
      </c>
      <c r="I6" s="58">
        <v>4.1100000000000003</v>
      </c>
      <c r="J6" s="58">
        <v>4.76</v>
      </c>
      <c r="K6" s="58">
        <v>4.49</v>
      </c>
      <c r="L6" s="11">
        <v>4.1100000000000003</v>
      </c>
      <c r="M6" s="11" t="e">
        <v>#N/A</v>
      </c>
      <c r="N6" s="11">
        <v>4.9000000000000004</v>
      </c>
      <c r="O6" s="11">
        <v>3.2</v>
      </c>
      <c r="P6" s="11">
        <v>3.9</v>
      </c>
      <c r="Q6" s="11">
        <v>3.9</v>
      </c>
      <c r="R6" s="58">
        <v>4.01</v>
      </c>
      <c r="S6" s="58">
        <v>9.0399999999999991</v>
      </c>
      <c r="T6" s="58">
        <v>3.87</v>
      </c>
      <c r="U6" s="57">
        <v>5.16</v>
      </c>
      <c r="V6" s="57">
        <v>5.46</v>
      </c>
      <c r="W6" s="57">
        <v>7.04</v>
      </c>
      <c r="X6" s="57">
        <v>2.13</v>
      </c>
      <c r="Y6" s="57">
        <v>3.53</v>
      </c>
      <c r="Z6" s="57">
        <v>4.04</v>
      </c>
      <c r="AA6" s="57"/>
      <c r="AE6" s="55">
        <v>6.65</v>
      </c>
      <c r="AF6" s="11">
        <v>3.73</v>
      </c>
      <c r="AG6" s="11">
        <v>5.76</v>
      </c>
      <c r="AH6" s="11">
        <v>9.86</v>
      </c>
      <c r="AI6" s="11">
        <v>5.32</v>
      </c>
      <c r="AJ6" s="11">
        <v>4.8099999999999996</v>
      </c>
      <c r="AK6" s="11"/>
      <c r="AL6" s="11">
        <v>7.09</v>
      </c>
      <c r="AM6" s="59">
        <v>5.42</v>
      </c>
      <c r="AN6" s="11">
        <v>7.45</v>
      </c>
      <c r="AO6" s="11">
        <v>6.37</v>
      </c>
      <c r="AP6" s="11">
        <v>3.27</v>
      </c>
      <c r="AQ6" s="11">
        <v>7.51</v>
      </c>
    </row>
    <row r="7" spans="1:43" x14ac:dyDescent="0.3">
      <c r="C7" s="44">
        <v>4.92</v>
      </c>
      <c r="D7" s="44"/>
      <c r="E7" s="44"/>
      <c r="F7" s="57"/>
      <c r="G7" s="57"/>
      <c r="H7" s="57">
        <v>4.87</v>
      </c>
      <c r="I7" s="58"/>
      <c r="J7" s="58"/>
      <c r="K7" s="58"/>
      <c r="L7" s="11"/>
      <c r="M7" s="11"/>
      <c r="N7" s="11"/>
      <c r="O7" s="11"/>
      <c r="P7" s="11"/>
      <c r="Q7" s="11"/>
      <c r="R7" s="58"/>
      <c r="S7" s="58"/>
      <c r="T7" s="58"/>
      <c r="U7" s="57"/>
      <c r="V7" s="57"/>
      <c r="W7" s="57"/>
      <c r="X7" s="57">
        <v>5.42</v>
      </c>
      <c r="Z7" s="57"/>
      <c r="AA7" s="57"/>
      <c r="AE7" s="55">
        <v>5.57</v>
      </c>
      <c r="AF7" s="11">
        <v>3.42</v>
      </c>
      <c r="AG7" s="11">
        <v>5.24</v>
      </c>
      <c r="AH7" s="11">
        <v>9.2799999999999994</v>
      </c>
      <c r="AI7" s="11">
        <v>6.2</v>
      </c>
      <c r="AJ7" s="11">
        <v>4.46</v>
      </c>
      <c r="AK7" s="11"/>
      <c r="AL7" s="11">
        <v>8.51</v>
      </c>
      <c r="AM7" s="59">
        <v>6.19</v>
      </c>
      <c r="AN7" s="11">
        <v>6.88</v>
      </c>
      <c r="AO7" s="11">
        <v>6.46</v>
      </c>
      <c r="AP7" s="11">
        <v>2.17</v>
      </c>
      <c r="AQ7" s="11">
        <v>6.71</v>
      </c>
    </row>
    <row r="8" spans="1:43" x14ac:dyDescent="0.3">
      <c r="C8" s="44"/>
      <c r="D8" s="44"/>
      <c r="E8" s="44"/>
      <c r="F8" s="57"/>
      <c r="G8" s="57"/>
      <c r="H8" s="57"/>
      <c r="I8" s="58"/>
      <c r="J8" s="58"/>
      <c r="K8" s="59"/>
      <c r="L8" s="11"/>
      <c r="M8" s="11"/>
      <c r="N8" s="11"/>
      <c r="O8" s="11"/>
      <c r="P8" s="11"/>
      <c r="R8" s="58"/>
      <c r="S8" s="58"/>
      <c r="T8" s="58"/>
      <c r="U8" s="57"/>
      <c r="V8" s="57"/>
      <c r="W8" s="57"/>
      <c r="X8" s="57"/>
      <c r="Z8" s="57"/>
      <c r="AA8" s="57"/>
      <c r="AE8" s="55">
        <v>4.74</v>
      </c>
      <c r="AF8" s="11"/>
      <c r="AG8" s="11">
        <v>4.9000000000000004</v>
      </c>
      <c r="AH8" s="11">
        <v>9.74</v>
      </c>
      <c r="AI8" s="11">
        <v>5.55</v>
      </c>
      <c r="AJ8" s="11">
        <v>4.4800000000000004</v>
      </c>
      <c r="AK8" s="11"/>
      <c r="AL8" s="11">
        <v>8.92</v>
      </c>
      <c r="AM8" s="59">
        <v>8.77</v>
      </c>
      <c r="AN8" s="11">
        <v>6.55</v>
      </c>
      <c r="AO8" s="11">
        <v>5.63</v>
      </c>
      <c r="AP8" s="11">
        <v>1.54</v>
      </c>
      <c r="AQ8" s="11">
        <v>6.42</v>
      </c>
    </row>
    <row r="9" spans="1:43" x14ac:dyDescent="0.3">
      <c r="B9" t="s">
        <v>67</v>
      </c>
      <c r="C9" s="57">
        <v>9.81</v>
      </c>
      <c r="D9" s="44">
        <v>10</v>
      </c>
      <c r="E9" s="44">
        <v>11.71</v>
      </c>
      <c r="F9" s="57">
        <v>6.98</v>
      </c>
      <c r="G9" s="57">
        <v>8.94</v>
      </c>
      <c r="H9" s="57">
        <v>11.62</v>
      </c>
      <c r="I9" s="58">
        <v>6.84</v>
      </c>
      <c r="J9" s="58">
        <v>11.7</v>
      </c>
      <c r="K9" s="58">
        <v>12.05</v>
      </c>
      <c r="L9" s="11">
        <v>6.31</v>
      </c>
      <c r="M9" s="11">
        <v>8.5</v>
      </c>
      <c r="N9" s="11">
        <v>7.13</v>
      </c>
      <c r="O9" s="11">
        <v>5.0999999999999996</v>
      </c>
      <c r="P9" s="11">
        <v>7.99</v>
      </c>
      <c r="Q9" s="11">
        <v>13.01</v>
      </c>
      <c r="R9" s="58">
        <v>9.57</v>
      </c>
      <c r="S9" s="58">
        <v>12.67</v>
      </c>
      <c r="T9" s="58"/>
      <c r="U9" s="57">
        <v>7.25</v>
      </c>
      <c r="V9" s="57">
        <v>9.41</v>
      </c>
      <c r="W9" s="57">
        <v>12.37</v>
      </c>
      <c r="X9" s="57">
        <v>8.4600000000000009</v>
      </c>
      <c r="Y9" s="57">
        <v>8.49</v>
      </c>
      <c r="Z9" s="57">
        <v>8.9</v>
      </c>
      <c r="AA9" s="57"/>
      <c r="AE9" s="55">
        <v>3.58</v>
      </c>
      <c r="AF9" s="11"/>
      <c r="AG9" s="11">
        <v>3.54</v>
      </c>
      <c r="AH9" s="11">
        <v>7.8</v>
      </c>
      <c r="AI9" s="11">
        <v>5.25</v>
      </c>
      <c r="AJ9" s="11">
        <v>3.48</v>
      </c>
      <c r="AK9" s="11"/>
      <c r="AL9" s="11">
        <v>7.72</v>
      </c>
      <c r="AM9" s="59">
        <v>4.74</v>
      </c>
      <c r="AN9" s="11">
        <v>5.61</v>
      </c>
      <c r="AO9" s="11">
        <v>5.29</v>
      </c>
      <c r="AP9" s="11">
        <v>1.25</v>
      </c>
      <c r="AQ9" s="11">
        <v>4.75</v>
      </c>
    </row>
    <row r="10" spans="1:43" x14ac:dyDescent="0.3">
      <c r="C10" s="57">
        <v>8.74</v>
      </c>
      <c r="D10" s="44">
        <v>10.72</v>
      </c>
      <c r="E10" s="44">
        <v>10.27</v>
      </c>
      <c r="F10" s="57">
        <v>7.57</v>
      </c>
      <c r="G10" s="57">
        <v>9.3699999999999992</v>
      </c>
      <c r="H10" s="57">
        <v>11.95</v>
      </c>
      <c r="I10" s="58">
        <v>7.14</v>
      </c>
      <c r="J10" s="58">
        <v>11.28</v>
      </c>
      <c r="K10" s="58">
        <v>10.65</v>
      </c>
      <c r="L10" s="11">
        <v>9.6300000000000008</v>
      </c>
      <c r="M10" s="11">
        <v>7.76</v>
      </c>
      <c r="N10" s="11">
        <v>8.08</v>
      </c>
      <c r="O10" s="11">
        <v>8.58</v>
      </c>
      <c r="P10" s="11">
        <v>11.56</v>
      </c>
      <c r="Q10" s="11">
        <v>14.87</v>
      </c>
      <c r="R10" s="58">
        <v>12.01</v>
      </c>
      <c r="S10" s="58">
        <v>18.79</v>
      </c>
      <c r="T10" s="58">
        <v>10.59</v>
      </c>
      <c r="U10" s="57">
        <v>8.5</v>
      </c>
      <c r="V10" s="57">
        <v>9.44</v>
      </c>
      <c r="W10" s="57">
        <v>14.94</v>
      </c>
      <c r="X10" s="57">
        <v>8.5</v>
      </c>
      <c r="Y10" s="57">
        <v>9.8800000000000008</v>
      </c>
      <c r="Z10" s="57">
        <v>9.19</v>
      </c>
      <c r="AA10" s="57"/>
      <c r="AE10" s="55">
        <v>3.31</v>
      </c>
      <c r="AF10" s="11"/>
      <c r="AG10" s="11"/>
      <c r="AH10" s="11"/>
      <c r="AI10" s="11"/>
      <c r="AJ10" s="11" t="s">
        <v>40</v>
      </c>
      <c r="AK10" s="11"/>
      <c r="AL10" s="11">
        <v>6.47</v>
      </c>
      <c r="AM10" s="59"/>
      <c r="AN10" s="11"/>
      <c r="AO10" s="11"/>
      <c r="AP10" s="11"/>
    </row>
    <row r="11" spans="1:43" x14ac:dyDescent="0.3">
      <c r="C11" s="57">
        <v>8.85</v>
      </c>
      <c r="D11" s="44">
        <v>7.7</v>
      </c>
      <c r="E11" s="44">
        <v>9.77</v>
      </c>
      <c r="F11" s="57">
        <v>6.2</v>
      </c>
      <c r="G11" s="57">
        <v>8.11</v>
      </c>
      <c r="H11" s="57">
        <v>14.25</v>
      </c>
      <c r="I11" s="58">
        <v>7.77</v>
      </c>
      <c r="J11" s="58">
        <v>12.22</v>
      </c>
      <c r="K11" s="58">
        <v>11.07</v>
      </c>
      <c r="L11" s="11">
        <v>9.8000000000000007</v>
      </c>
      <c r="M11" s="11">
        <v>8.51</v>
      </c>
      <c r="N11" s="11">
        <v>7.81</v>
      </c>
      <c r="O11" s="11">
        <v>9.42</v>
      </c>
      <c r="P11" s="11">
        <v>10.89</v>
      </c>
      <c r="Q11" s="11">
        <v>14.99</v>
      </c>
      <c r="R11" s="58">
        <v>11.06</v>
      </c>
      <c r="S11" s="58">
        <v>12.67</v>
      </c>
      <c r="T11" s="58"/>
      <c r="U11" s="57">
        <v>8.6199999999999992</v>
      </c>
      <c r="V11" s="57">
        <v>10.87</v>
      </c>
      <c r="W11" s="57">
        <v>13.8</v>
      </c>
      <c r="X11" s="57">
        <v>6.94</v>
      </c>
      <c r="Y11" s="57">
        <v>10.84</v>
      </c>
      <c r="Z11" s="57">
        <v>9.07</v>
      </c>
      <c r="AA11" s="57"/>
      <c r="AE11" s="11"/>
      <c r="AF11" s="11"/>
      <c r="AG11" s="11"/>
      <c r="AH11" s="11"/>
      <c r="AI11" s="11"/>
      <c r="AJ11" s="11"/>
      <c r="AK11" s="11"/>
      <c r="AL11" s="11"/>
      <c r="AM11" s="59"/>
      <c r="AN11" s="11"/>
      <c r="AO11" s="11"/>
      <c r="AP11" s="11"/>
    </row>
    <row r="12" spans="1:43" x14ac:dyDescent="0.3">
      <c r="C12" s="57">
        <v>8.5399999999999991</v>
      </c>
      <c r="D12" s="44">
        <v>7.59</v>
      </c>
      <c r="E12" s="44">
        <v>7.04</v>
      </c>
      <c r="F12" s="57">
        <v>6.03</v>
      </c>
      <c r="G12" s="57">
        <v>8.26</v>
      </c>
      <c r="H12" s="57">
        <v>11.93</v>
      </c>
      <c r="I12" s="58">
        <v>6.16</v>
      </c>
      <c r="J12" s="58">
        <v>10.77</v>
      </c>
      <c r="K12" s="58">
        <v>9.7899999999999991</v>
      </c>
      <c r="L12" s="11">
        <v>9.66</v>
      </c>
      <c r="M12" s="11">
        <v>7.37</v>
      </c>
      <c r="N12" s="11">
        <v>6.8</v>
      </c>
      <c r="O12" s="11">
        <v>9.81</v>
      </c>
      <c r="P12" s="11">
        <v>11.71</v>
      </c>
      <c r="Q12" s="11">
        <v>13.5</v>
      </c>
      <c r="R12" s="58">
        <v>10.94</v>
      </c>
      <c r="S12" s="58">
        <v>15.01</v>
      </c>
      <c r="T12" s="58"/>
      <c r="U12" s="57">
        <v>7.3</v>
      </c>
      <c r="V12" s="57">
        <v>9.89</v>
      </c>
      <c r="W12" s="57">
        <v>12.9</v>
      </c>
      <c r="X12" s="57">
        <v>6.03</v>
      </c>
      <c r="Y12" s="57">
        <v>9.5299999999999994</v>
      </c>
      <c r="Z12" t="e">
        <v>#N/A</v>
      </c>
      <c r="AA12" s="57"/>
      <c r="AD12" t="s">
        <v>53</v>
      </c>
      <c r="AE12" s="55">
        <v>3.44</v>
      </c>
      <c r="AF12" s="11">
        <v>3.1</v>
      </c>
      <c r="AG12" s="11">
        <v>4</v>
      </c>
      <c r="AH12" s="11">
        <v>7.86</v>
      </c>
      <c r="AI12" s="11">
        <v>4.3</v>
      </c>
      <c r="AJ12" s="11">
        <v>3.2</v>
      </c>
      <c r="AK12" s="11"/>
      <c r="AL12" s="11">
        <v>5.47</v>
      </c>
      <c r="AM12" s="59">
        <v>6</v>
      </c>
      <c r="AN12" s="11">
        <v>5.98</v>
      </c>
      <c r="AO12" s="11">
        <v>4.93</v>
      </c>
      <c r="AP12" s="11">
        <v>2.12</v>
      </c>
      <c r="AQ12" s="11">
        <v>3.08</v>
      </c>
    </row>
    <row r="13" spans="1:43" x14ac:dyDescent="0.3">
      <c r="C13" s="44"/>
      <c r="D13" s="44"/>
      <c r="E13" s="44">
        <v>6.71</v>
      </c>
      <c r="F13" s="57">
        <v>3.49</v>
      </c>
      <c r="G13" s="57">
        <v>7.78</v>
      </c>
      <c r="H13" s="58">
        <v>8.89</v>
      </c>
      <c r="I13" s="58">
        <v>6.83</v>
      </c>
      <c r="J13" s="58">
        <v>10.44</v>
      </c>
      <c r="K13" s="58">
        <v>8.58</v>
      </c>
      <c r="L13" s="11">
        <v>8.23</v>
      </c>
      <c r="M13" s="11">
        <v>7.13</v>
      </c>
      <c r="N13" s="11">
        <v>6.07</v>
      </c>
      <c r="O13" s="11">
        <v>9.8699999999999992</v>
      </c>
      <c r="P13" s="11">
        <v>10.73</v>
      </c>
      <c r="Q13" s="11">
        <v>11.51</v>
      </c>
      <c r="R13" s="58">
        <v>9.83</v>
      </c>
      <c r="S13" s="58">
        <v>13.69</v>
      </c>
      <c r="T13" s="58"/>
      <c r="U13" s="57">
        <v>5.17</v>
      </c>
      <c r="V13" s="57">
        <v>9.1300000000000008</v>
      </c>
      <c r="W13" s="57">
        <v>11.1</v>
      </c>
      <c r="X13" s="57">
        <v>4.58</v>
      </c>
      <c r="Y13" s="57">
        <v>7.77</v>
      </c>
      <c r="Z13" t="e">
        <v>#N/A</v>
      </c>
      <c r="AA13" s="57"/>
      <c r="AE13" s="55">
        <v>4.26</v>
      </c>
      <c r="AF13" s="11"/>
      <c r="AG13" s="11">
        <v>3.69</v>
      </c>
      <c r="AH13" s="11">
        <v>7.08</v>
      </c>
      <c r="AI13" s="11">
        <v>3.64</v>
      </c>
      <c r="AJ13" s="11">
        <v>3.95</v>
      </c>
      <c r="AK13" s="11"/>
      <c r="AL13" s="11">
        <v>6.43</v>
      </c>
      <c r="AM13" s="59">
        <v>4.72</v>
      </c>
      <c r="AN13" s="11">
        <v>6.42</v>
      </c>
      <c r="AO13" s="11">
        <v>4.75</v>
      </c>
      <c r="AP13" s="11">
        <v>2.04</v>
      </c>
      <c r="AQ13" s="11">
        <v>3.76</v>
      </c>
    </row>
    <row r="14" spans="1:43" x14ac:dyDescent="0.3">
      <c r="B14" s="31" t="s">
        <v>66</v>
      </c>
      <c r="C14" s="60">
        <v>8.4700000000000006</v>
      </c>
      <c r="D14" s="44"/>
      <c r="E14" s="44"/>
      <c r="F14" s="57"/>
      <c r="G14" s="57"/>
      <c r="H14" s="57"/>
      <c r="I14" s="58"/>
      <c r="J14" s="58"/>
      <c r="K14" s="58"/>
      <c r="L14" s="11"/>
      <c r="M14" s="11"/>
      <c r="N14" s="11"/>
      <c r="O14" s="11"/>
      <c r="P14" s="11"/>
      <c r="Q14" s="11"/>
      <c r="R14" s="58"/>
      <c r="S14" s="58"/>
      <c r="T14" s="58"/>
      <c r="U14" s="57"/>
      <c r="V14" s="57"/>
      <c r="W14" s="57"/>
      <c r="X14" s="57"/>
      <c r="Y14" s="57"/>
      <c r="Z14" s="57"/>
      <c r="AA14" s="57"/>
      <c r="AE14" s="11"/>
      <c r="AF14" s="11"/>
      <c r="AG14" s="11"/>
      <c r="AH14" s="11"/>
      <c r="AI14" s="11"/>
      <c r="AJ14" s="11"/>
      <c r="AK14" s="11"/>
      <c r="AL14" s="11"/>
      <c r="AM14" s="59"/>
      <c r="AN14" s="11"/>
      <c r="AO14" s="11"/>
      <c r="AP14" s="11"/>
    </row>
    <row r="15" spans="1:43" x14ac:dyDescent="0.3">
      <c r="B15" s="31"/>
      <c r="C15" s="60">
        <v>11.95</v>
      </c>
      <c r="D15" s="44"/>
      <c r="E15" s="44"/>
      <c r="F15" s="57"/>
      <c r="G15" s="57"/>
      <c r="H15" s="57"/>
      <c r="I15" s="58"/>
      <c r="J15" s="58"/>
      <c r="K15" s="58"/>
      <c r="L15" s="11"/>
      <c r="M15" s="11"/>
      <c r="N15" s="11"/>
      <c r="O15" s="11"/>
      <c r="P15" s="11"/>
      <c r="Q15" s="11"/>
      <c r="R15" s="58"/>
      <c r="S15" s="58"/>
      <c r="T15" s="58"/>
      <c r="U15" s="57"/>
      <c r="V15" s="57"/>
      <c r="W15" s="57"/>
      <c r="X15" s="57"/>
      <c r="Y15" s="57"/>
      <c r="Z15" s="57"/>
      <c r="AA15" s="57"/>
      <c r="AD15" t="s">
        <v>57</v>
      </c>
      <c r="AE15" s="55">
        <v>6.06</v>
      </c>
      <c r="AF15" s="11">
        <v>3</v>
      </c>
      <c r="AG15" s="11">
        <v>3.77</v>
      </c>
      <c r="AH15" s="11">
        <v>8.61</v>
      </c>
      <c r="AI15" s="11">
        <v>4.28</v>
      </c>
      <c r="AJ15" s="11">
        <v>3.93</v>
      </c>
      <c r="AK15" s="11"/>
      <c r="AL15" s="11">
        <v>7.46</v>
      </c>
      <c r="AM15" s="59">
        <v>5.1100000000000003</v>
      </c>
      <c r="AN15" s="11">
        <v>6.31</v>
      </c>
      <c r="AO15" s="11">
        <v>4.2</v>
      </c>
      <c r="AP15" s="11">
        <v>1.98</v>
      </c>
      <c r="AQ15" s="11">
        <v>4.1900000000000004</v>
      </c>
    </row>
    <row r="16" spans="1:43" x14ac:dyDescent="0.3">
      <c r="B16" s="31"/>
      <c r="C16" s="60">
        <v>9.5500000000000007</v>
      </c>
      <c r="D16" s="44"/>
      <c r="E16" s="44"/>
      <c r="F16" s="57"/>
      <c r="G16" s="57"/>
      <c r="H16" s="57"/>
      <c r="I16" s="58"/>
      <c r="J16" s="58"/>
      <c r="K16" s="58"/>
      <c r="L16" s="11"/>
      <c r="M16" s="11"/>
      <c r="N16" s="11"/>
      <c r="O16" s="11"/>
      <c r="P16" s="11"/>
      <c r="Q16" s="11"/>
      <c r="R16" s="58"/>
      <c r="S16" s="58"/>
      <c r="T16" s="58"/>
      <c r="U16" s="57"/>
      <c r="V16" s="57"/>
      <c r="W16" s="57"/>
      <c r="X16" s="57"/>
      <c r="Y16" s="57"/>
      <c r="Z16" s="57"/>
      <c r="AA16" s="57"/>
      <c r="AE16" s="55">
        <v>5.3</v>
      </c>
      <c r="AF16" s="11">
        <v>2.96</v>
      </c>
      <c r="AG16" s="11">
        <v>2.97</v>
      </c>
      <c r="AH16" s="11">
        <v>5.91</v>
      </c>
      <c r="AI16" s="11">
        <v>4.17</v>
      </c>
      <c r="AJ16" s="11">
        <v>3.6</v>
      </c>
      <c r="AK16" s="11"/>
      <c r="AL16" s="11">
        <v>6.07</v>
      </c>
      <c r="AM16" s="59" t="e">
        <v>#N/A</v>
      </c>
      <c r="AN16" s="11">
        <v>4.76</v>
      </c>
      <c r="AO16" s="11">
        <v>3.52</v>
      </c>
      <c r="AP16" s="11">
        <v>1.3</v>
      </c>
      <c r="AQ16" s="11">
        <v>3.06</v>
      </c>
    </row>
    <row r="17" spans="2:43" x14ac:dyDescent="0.3">
      <c r="C17" s="60">
        <v>7.06</v>
      </c>
      <c r="D17" s="44"/>
      <c r="E17" s="44"/>
      <c r="F17" s="57"/>
      <c r="G17" s="57"/>
      <c r="H17" s="57"/>
      <c r="I17" s="58"/>
      <c r="J17" s="58"/>
      <c r="K17" s="58"/>
      <c r="L17" s="11"/>
      <c r="M17" s="11"/>
      <c r="N17" s="11"/>
      <c r="O17" s="11"/>
      <c r="P17" s="11"/>
      <c r="Q17" s="11"/>
      <c r="R17" s="58"/>
      <c r="S17" s="58"/>
      <c r="T17" s="58"/>
      <c r="U17" s="57"/>
      <c r="V17" s="57"/>
      <c r="W17" s="57"/>
      <c r="X17" s="57"/>
      <c r="Y17" s="57"/>
      <c r="Z17" s="57"/>
      <c r="AA17" s="57"/>
      <c r="AE17" s="55">
        <v>3.93</v>
      </c>
      <c r="AF17" s="11">
        <v>2.3199999999999998</v>
      </c>
      <c r="AG17" s="11">
        <v>2.66</v>
      </c>
      <c r="AH17" s="11">
        <v>6.3</v>
      </c>
      <c r="AI17" s="11">
        <v>3.42</v>
      </c>
      <c r="AJ17" s="11">
        <v>2.74</v>
      </c>
      <c r="AK17" s="11"/>
      <c r="AL17" s="11">
        <v>5.28</v>
      </c>
      <c r="AM17" s="59">
        <v>3.95</v>
      </c>
      <c r="AN17" s="11">
        <v>3.96</v>
      </c>
      <c r="AO17" s="11">
        <v>2.91</v>
      </c>
      <c r="AP17" s="11">
        <v>1.1000000000000001</v>
      </c>
      <c r="AQ17" s="11">
        <v>2.1800000000000002</v>
      </c>
    </row>
    <row r="18" spans="2:43" x14ac:dyDescent="0.3">
      <c r="C18" s="44"/>
      <c r="D18" s="44"/>
      <c r="E18" s="44"/>
      <c r="F18" s="57"/>
      <c r="G18" s="57"/>
      <c r="H18" s="57"/>
      <c r="I18" s="58"/>
      <c r="J18" s="58"/>
      <c r="K18" s="58"/>
      <c r="L18" s="11"/>
      <c r="M18" s="11"/>
      <c r="N18" s="11"/>
      <c r="O18" s="11"/>
      <c r="P18" s="11"/>
      <c r="Q18" s="11"/>
      <c r="R18" s="58"/>
      <c r="S18" s="58"/>
      <c r="T18" s="58"/>
      <c r="U18" s="57"/>
      <c r="V18" s="57"/>
      <c r="W18" s="57"/>
      <c r="X18" s="57"/>
      <c r="Z18" s="57"/>
      <c r="AA18" s="57"/>
      <c r="AE18" s="55">
        <v>3.98</v>
      </c>
      <c r="AF18" s="11"/>
      <c r="AG18" s="11">
        <v>3.04</v>
      </c>
      <c r="AH18" s="11">
        <v>4.93</v>
      </c>
      <c r="AI18" s="11">
        <v>3.76</v>
      </c>
      <c r="AJ18" s="11">
        <v>2.38</v>
      </c>
      <c r="AK18" s="11"/>
      <c r="AL18" s="11">
        <v>4.03</v>
      </c>
      <c r="AM18" s="59">
        <v>3.98</v>
      </c>
      <c r="AN18" s="11">
        <v>3.38</v>
      </c>
      <c r="AO18" s="11">
        <v>2.5099999999999998</v>
      </c>
      <c r="AP18" s="11">
        <v>0.83</v>
      </c>
      <c r="AQ18" s="11">
        <v>1.55</v>
      </c>
    </row>
    <row r="19" spans="2:43" x14ac:dyDescent="0.3">
      <c r="B19" t="s">
        <v>64</v>
      </c>
      <c r="C19" s="44">
        <v>9.64</v>
      </c>
      <c r="D19" s="44">
        <v>7.26</v>
      </c>
      <c r="E19" s="44">
        <v>10.07</v>
      </c>
      <c r="F19" s="57">
        <v>9.5399999999999991</v>
      </c>
      <c r="G19" s="57">
        <v>8.4499999999999993</v>
      </c>
      <c r="H19" s="57">
        <v>13.12</v>
      </c>
      <c r="I19" s="58">
        <v>9.4</v>
      </c>
      <c r="J19" s="58">
        <v>14.71</v>
      </c>
      <c r="K19" s="58">
        <v>11.52</v>
      </c>
      <c r="L19" s="11">
        <v>8.26</v>
      </c>
      <c r="M19" s="11">
        <v>7.51</v>
      </c>
      <c r="N19" s="11">
        <v>7.42</v>
      </c>
      <c r="O19" s="11">
        <v>7.83</v>
      </c>
      <c r="P19" s="11">
        <v>12.84</v>
      </c>
      <c r="Q19" s="11">
        <v>10.8</v>
      </c>
      <c r="R19" s="58">
        <v>13.79</v>
      </c>
      <c r="S19" s="58">
        <v>14.48</v>
      </c>
      <c r="T19" s="58"/>
      <c r="U19" s="57">
        <v>10.34</v>
      </c>
      <c r="V19" s="57">
        <v>9.99</v>
      </c>
      <c r="W19" s="57">
        <v>10.039999999999999</v>
      </c>
      <c r="X19" s="57">
        <v>6.8</v>
      </c>
      <c r="Y19" s="57">
        <v>8.84</v>
      </c>
      <c r="Z19" t="e">
        <v>#N/A</v>
      </c>
      <c r="AA19" s="57"/>
      <c r="AE19" s="55">
        <v>3.02</v>
      </c>
      <c r="AF19" s="11"/>
      <c r="AG19" s="11">
        <v>2.37</v>
      </c>
      <c r="AH19" s="11">
        <v>4.3099999999999996</v>
      </c>
      <c r="AI19" s="11">
        <v>2.67</v>
      </c>
      <c r="AJ19" s="11">
        <v>2.06</v>
      </c>
      <c r="AL19" s="11">
        <v>3.86</v>
      </c>
      <c r="AM19" s="59">
        <v>3.53</v>
      </c>
      <c r="AN19" s="11">
        <v>2.42</v>
      </c>
      <c r="AO19" s="11">
        <v>1.7</v>
      </c>
      <c r="AP19" s="11">
        <v>0.81</v>
      </c>
      <c r="AQ19" s="11">
        <v>1.44</v>
      </c>
    </row>
    <row r="20" spans="2:43" x14ac:dyDescent="0.3">
      <c r="C20" s="44">
        <v>10.1</v>
      </c>
      <c r="D20" s="44">
        <v>8.32</v>
      </c>
      <c r="E20" s="44">
        <v>9.25</v>
      </c>
      <c r="F20" s="57">
        <v>7.92</v>
      </c>
      <c r="G20" s="57">
        <v>7.49</v>
      </c>
      <c r="H20" s="57">
        <v>12.13</v>
      </c>
      <c r="I20" s="58">
        <v>10.24</v>
      </c>
      <c r="J20" s="58">
        <v>13.23</v>
      </c>
      <c r="K20" s="58">
        <v>10.16</v>
      </c>
      <c r="L20" s="11">
        <v>10.26</v>
      </c>
      <c r="M20" s="11">
        <v>6.54</v>
      </c>
      <c r="N20" s="11">
        <v>6.87</v>
      </c>
      <c r="O20" s="11">
        <v>9.92</v>
      </c>
      <c r="P20" s="11">
        <v>9.9499999999999993</v>
      </c>
      <c r="Q20" s="11">
        <v>10.83</v>
      </c>
      <c r="R20" s="58">
        <v>13.59</v>
      </c>
      <c r="S20" s="58">
        <v>15.34</v>
      </c>
      <c r="T20" s="58">
        <v>11.63</v>
      </c>
      <c r="U20" s="57">
        <v>8.17</v>
      </c>
      <c r="V20" s="57">
        <v>10.41</v>
      </c>
      <c r="W20" s="57">
        <v>10.08</v>
      </c>
      <c r="X20" s="57">
        <v>6.69</v>
      </c>
      <c r="Y20" s="57">
        <v>9.5500000000000007</v>
      </c>
      <c r="Z20" t="e">
        <v>#N/A</v>
      </c>
      <c r="AA20" s="57"/>
      <c r="AE20" s="11"/>
      <c r="AF20" s="11"/>
      <c r="AG20" s="11"/>
      <c r="AH20" s="11"/>
      <c r="AI20" s="11"/>
      <c r="AJ20" s="11" t="s">
        <v>40</v>
      </c>
      <c r="AK20" s="11"/>
      <c r="AL20" s="11"/>
      <c r="AM20" s="59"/>
      <c r="AN20" s="11"/>
      <c r="AO20" s="11"/>
      <c r="AP20" s="11"/>
    </row>
    <row r="21" spans="2:43" x14ac:dyDescent="0.3">
      <c r="C21" s="44">
        <v>10.199999999999999</v>
      </c>
      <c r="D21" s="44">
        <v>8.0399999999999991</v>
      </c>
      <c r="E21" s="44">
        <v>6.91</v>
      </c>
      <c r="F21" s="57">
        <v>8.7799999999999994</v>
      </c>
      <c r="G21" s="57">
        <v>8.85</v>
      </c>
      <c r="H21" s="57">
        <v>11.46</v>
      </c>
      <c r="I21" s="58">
        <v>8.36</v>
      </c>
      <c r="J21" s="58">
        <v>13.15</v>
      </c>
      <c r="K21" s="58">
        <v>9.6300000000000008</v>
      </c>
      <c r="L21" s="11">
        <v>7.31</v>
      </c>
      <c r="M21" s="11">
        <v>6.89</v>
      </c>
      <c r="N21" s="11">
        <v>5.64</v>
      </c>
      <c r="O21" s="11">
        <v>9.27</v>
      </c>
      <c r="P21" s="11">
        <v>12.18</v>
      </c>
      <c r="Q21" s="11">
        <v>9.6</v>
      </c>
      <c r="R21" s="58">
        <v>12.45</v>
      </c>
      <c r="S21" s="58">
        <v>13.51</v>
      </c>
      <c r="T21" s="58"/>
      <c r="U21" s="57">
        <v>8.36</v>
      </c>
      <c r="V21" s="57">
        <v>10.54</v>
      </c>
      <c r="W21" s="57">
        <v>10.29</v>
      </c>
      <c r="X21" s="57">
        <v>5.35</v>
      </c>
      <c r="Y21" s="57">
        <v>7.93</v>
      </c>
      <c r="Z21" t="e">
        <v>#N/A</v>
      </c>
      <c r="AA21" s="57"/>
      <c r="AD21" t="s">
        <v>54</v>
      </c>
      <c r="AE21" s="55">
        <v>2.85</v>
      </c>
      <c r="AF21" s="11">
        <v>2.93</v>
      </c>
      <c r="AG21" s="11">
        <v>3.56</v>
      </c>
      <c r="AH21" s="11">
        <v>5.21</v>
      </c>
      <c r="AI21" s="11">
        <v>3.2</v>
      </c>
      <c r="AJ21" s="11">
        <v>2.2400000000000002</v>
      </c>
      <c r="AK21" s="11"/>
      <c r="AL21" s="11">
        <v>3.71</v>
      </c>
      <c r="AM21" s="59">
        <v>3.49</v>
      </c>
      <c r="AN21" s="11">
        <v>3.13</v>
      </c>
      <c r="AO21" s="11">
        <v>2.2200000000000002</v>
      </c>
      <c r="AP21" s="11">
        <v>1.59</v>
      </c>
      <c r="AQ21" s="11">
        <v>1.97</v>
      </c>
    </row>
    <row r="22" spans="2:43" x14ac:dyDescent="0.3">
      <c r="C22" s="44">
        <v>9.9600000000000009</v>
      </c>
      <c r="D22" s="44">
        <v>6.67</v>
      </c>
      <c r="E22" s="44">
        <v>6.6</v>
      </c>
      <c r="F22" s="57">
        <v>7.57</v>
      </c>
      <c r="G22" s="57">
        <v>6.73</v>
      </c>
      <c r="H22" s="57">
        <v>12.24</v>
      </c>
      <c r="I22" s="58">
        <v>9.5299999999999994</v>
      </c>
      <c r="J22" s="58">
        <v>8.83</v>
      </c>
      <c r="K22" s="58">
        <v>7.69</v>
      </c>
      <c r="L22" s="11">
        <v>8.8000000000000007</v>
      </c>
      <c r="M22" s="11">
        <v>6.63</v>
      </c>
      <c r="N22" s="11">
        <v>6</v>
      </c>
      <c r="O22" s="11">
        <v>7.8</v>
      </c>
      <c r="P22" s="11">
        <v>9.7200000000000006</v>
      </c>
      <c r="Q22" s="59">
        <v>12.33</v>
      </c>
      <c r="R22" s="58">
        <v>11.79</v>
      </c>
      <c r="S22" s="58">
        <v>12.05</v>
      </c>
      <c r="T22" s="58"/>
      <c r="U22" s="57">
        <v>7.54</v>
      </c>
      <c r="V22" s="57">
        <v>9.69</v>
      </c>
      <c r="W22" s="57">
        <v>8.9499999999999993</v>
      </c>
      <c r="X22" s="57">
        <v>3.94</v>
      </c>
      <c r="Y22" s="57">
        <v>7.92</v>
      </c>
      <c r="Z22" t="e">
        <v>#N/A</v>
      </c>
      <c r="AA22" s="57"/>
      <c r="AE22" s="55">
        <v>3.3</v>
      </c>
      <c r="AF22" s="11"/>
      <c r="AG22" s="11">
        <v>3.54</v>
      </c>
      <c r="AH22" s="11">
        <v>4.29</v>
      </c>
      <c r="AI22" s="11">
        <v>3.28</v>
      </c>
      <c r="AJ22" s="11">
        <v>3.54</v>
      </c>
      <c r="AK22" s="11"/>
      <c r="AL22" s="11">
        <v>4.22</v>
      </c>
      <c r="AM22" s="59">
        <v>3.96</v>
      </c>
      <c r="AN22" s="11">
        <v>3.21</v>
      </c>
      <c r="AO22" s="11">
        <v>2.13</v>
      </c>
      <c r="AP22" s="11">
        <v>2.06</v>
      </c>
      <c r="AQ22" s="11">
        <v>1.86</v>
      </c>
    </row>
    <row r="23" spans="2:43" x14ac:dyDescent="0.3">
      <c r="C23" s="44"/>
      <c r="D23" s="44"/>
      <c r="E23" s="44">
        <v>5.37</v>
      </c>
      <c r="F23" s="57">
        <v>6.43</v>
      </c>
      <c r="G23" s="57">
        <v>7.07</v>
      </c>
      <c r="H23" s="57">
        <v>11.09</v>
      </c>
      <c r="I23" s="58">
        <v>5.99</v>
      </c>
      <c r="J23" s="58">
        <v>8.58</v>
      </c>
      <c r="K23" s="58">
        <v>6.93</v>
      </c>
      <c r="L23" s="11">
        <v>7.24</v>
      </c>
      <c r="M23" s="11">
        <v>5.57</v>
      </c>
      <c r="N23" s="11">
        <v>5.75</v>
      </c>
      <c r="O23" s="11">
        <v>7.54</v>
      </c>
      <c r="P23" s="11">
        <v>10.35</v>
      </c>
      <c r="Q23" s="11">
        <v>9.2200000000000006</v>
      </c>
      <c r="R23" s="58">
        <v>11.07</v>
      </c>
      <c r="S23" s="58">
        <v>12.81</v>
      </c>
      <c r="T23" s="58"/>
      <c r="U23" s="57">
        <v>6.22</v>
      </c>
      <c r="V23" s="57">
        <v>8.02</v>
      </c>
      <c r="W23" s="57">
        <v>8.31</v>
      </c>
      <c r="X23" s="57">
        <v>3.45</v>
      </c>
      <c r="Y23" s="57">
        <v>6.5</v>
      </c>
      <c r="Z23" t="e">
        <v>#N/A</v>
      </c>
      <c r="AA23" s="57"/>
      <c r="AE23" s="11"/>
      <c r="AF23" s="11"/>
      <c r="AG23" s="11"/>
      <c r="AH23" s="11"/>
      <c r="AI23" s="11"/>
      <c r="AJ23" s="11"/>
      <c r="AK23" s="11"/>
      <c r="AL23" s="11"/>
      <c r="AM23" s="59"/>
      <c r="AN23" s="11"/>
      <c r="AO23" s="11"/>
      <c r="AP23" s="11"/>
    </row>
    <row r="24" spans="2:43" x14ac:dyDescent="0.3">
      <c r="C24" s="44"/>
      <c r="D24" s="44"/>
      <c r="E24" s="44"/>
      <c r="F24" s="57"/>
      <c r="G24" s="57"/>
      <c r="H24" s="57"/>
      <c r="I24" s="58"/>
      <c r="J24" s="58"/>
      <c r="K24" s="58"/>
      <c r="L24" s="11"/>
      <c r="M24" s="11"/>
      <c r="N24" s="11"/>
      <c r="O24" s="11"/>
      <c r="P24" s="11"/>
      <c r="Q24" s="11"/>
      <c r="R24" s="58"/>
      <c r="S24" s="58"/>
      <c r="T24" s="58"/>
      <c r="U24" s="57"/>
      <c r="V24" s="57"/>
      <c r="W24" s="57"/>
      <c r="X24" s="57"/>
      <c r="Z24" s="57"/>
      <c r="AA24" s="57"/>
      <c r="AD24" t="s">
        <v>68</v>
      </c>
      <c r="AE24" s="55">
        <v>5.25</v>
      </c>
      <c r="AF24" s="11">
        <v>2.0099999999999998</v>
      </c>
      <c r="AG24" s="11">
        <v>4.08</v>
      </c>
      <c r="AH24" s="11">
        <v>4.66</v>
      </c>
      <c r="AI24" s="11">
        <v>3.75</v>
      </c>
      <c r="AJ24" s="11">
        <v>3.6</v>
      </c>
      <c r="AK24" s="11"/>
      <c r="AL24" s="11">
        <v>5.07</v>
      </c>
      <c r="AM24" s="59">
        <v>5.12</v>
      </c>
      <c r="AN24" s="11">
        <v>3.27</v>
      </c>
      <c r="AO24" s="11">
        <v>3.37</v>
      </c>
      <c r="AP24" s="11">
        <v>1.82</v>
      </c>
      <c r="AQ24" s="11">
        <v>1.67</v>
      </c>
    </row>
    <row r="25" spans="2:43" x14ac:dyDescent="0.3">
      <c r="B25" t="s">
        <v>65</v>
      </c>
      <c r="C25" s="44">
        <v>6.08</v>
      </c>
      <c r="D25" s="44">
        <v>5.0999999999999996</v>
      </c>
      <c r="E25" s="44">
        <v>6.99</v>
      </c>
      <c r="F25" s="61" t="e">
        <v>#N/A</v>
      </c>
      <c r="G25" s="57">
        <v>6.99</v>
      </c>
      <c r="H25" s="57">
        <v>10.44</v>
      </c>
      <c r="I25" s="58">
        <v>7.04</v>
      </c>
      <c r="J25" s="58">
        <v>9.01</v>
      </c>
      <c r="K25" s="58">
        <v>6.64</v>
      </c>
      <c r="L25" s="11">
        <v>5.08</v>
      </c>
      <c r="M25" s="11">
        <v>4.28</v>
      </c>
      <c r="N25" s="11">
        <v>6.15</v>
      </c>
      <c r="O25" s="11">
        <v>5.75</v>
      </c>
      <c r="P25" s="11">
        <v>6.64</v>
      </c>
      <c r="Q25" s="11">
        <v>8.84</v>
      </c>
      <c r="R25" s="58">
        <v>13.28</v>
      </c>
      <c r="S25" s="58">
        <v>11.52</v>
      </c>
      <c r="T25" s="58"/>
      <c r="U25" s="57">
        <v>6.33</v>
      </c>
      <c r="V25" s="57">
        <v>6.41</v>
      </c>
      <c r="W25" s="57">
        <v>4.82</v>
      </c>
      <c r="X25" s="57">
        <v>7.24</v>
      </c>
      <c r="Y25" s="57">
        <v>6.39</v>
      </c>
      <c r="Z25" s="57">
        <v>10.09</v>
      </c>
      <c r="AA25" s="57"/>
      <c r="AE25" s="55">
        <v>3.85</v>
      </c>
      <c r="AF25" s="11">
        <v>1.94</v>
      </c>
      <c r="AG25" s="11">
        <v>3.12</v>
      </c>
      <c r="AH25" s="11">
        <v>5.76</v>
      </c>
      <c r="AI25" s="11">
        <v>3.65</v>
      </c>
      <c r="AJ25" s="11">
        <v>2.93</v>
      </c>
      <c r="AK25" s="11"/>
      <c r="AL25" s="11">
        <v>4.3099999999999996</v>
      </c>
      <c r="AM25" s="59">
        <v>6.03</v>
      </c>
      <c r="AN25" s="11">
        <v>2.48</v>
      </c>
      <c r="AO25" s="11">
        <v>2.4</v>
      </c>
      <c r="AP25" s="11">
        <v>1.23</v>
      </c>
      <c r="AQ25" s="11">
        <v>1.47</v>
      </c>
    </row>
    <row r="26" spans="2:43" x14ac:dyDescent="0.3">
      <c r="C26" s="44">
        <v>7.35</v>
      </c>
      <c r="D26" s="44">
        <v>6.03</v>
      </c>
      <c r="E26" s="44">
        <v>6.2</v>
      </c>
      <c r="F26" s="57">
        <v>3.7</v>
      </c>
      <c r="G26" s="57">
        <v>6.42</v>
      </c>
      <c r="H26" s="57">
        <v>10.53</v>
      </c>
      <c r="I26" s="58">
        <v>7.6</v>
      </c>
      <c r="J26" s="58">
        <v>7.49</v>
      </c>
      <c r="K26" s="58">
        <v>7.12</v>
      </c>
      <c r="L26" s="11">
        <v>7.34</v>
      </c>
      <c r="M26" s="11">
        <v>4.32</v>
      </c>
      <c r="N26" s="11">
        <v>5.76</v>
      </c>
      <c r="O26" s="11">
        <v>7.13</v>
      </c>
      <c r="P26" s="11">
        <v>7.25</v>
      </c>
      <c r="Q26" s="11">
        <v>10.01</v>
      </c>
      <c r="R26" s="58">
        <v>13.8</v>
      </c>
      <c r="S26" s="58">
        <v>12.61</v>
      </c>
      <c r="T26" s="58">
        <v>10.130000000000001</v>
      </c>
      <c r="U26" s="57">
        <v>6.08</v>
      </c>
      <c r="V26" s="57">
        <v>7.47</v>
      </c>
      <c r="W26" s="57">
        <v>5.34</v>
      </c>
      <c r="X26" s="57">
        <v>8.6300000000000008</v>
      </c>
      <c r="Y26" s="57">
        <v>8.2799999999999994</v>
      </c>
      <c r="Z26" s="57">
        <v>7.2</v>
      </c>
      <c r="AA26" s="57"/>
      <c r="AE26" s="55">
        <v>3.54</v>
      </c>
      <c r="AF26" s="11">
        <v>1.86</v>
      </c>
      <c r="AG26" s="11">
        <v>2.88</v>
      </c>
      <c r="AH26" s="11">
        <v>3.97</v>
      </c>
      <c r="AI26" s="11">
        <v>3.52</v>
      </c>
      <c r="AJ26" s="11">
        <v>2.88</v>
      </c>
      <c r="AK26" s="11"/>
      <c r="AL26" s="11">
        <v>3.49</v>
      </c>
      <c r="AM26" s="59">
        <v>5.66</v>
      </c>
      <c r="AN26" s="11">
        <v>2.34</v>
      </c>
      <c r="AO26" s="11">
        <v>1.59</v>
      </c>
      <c r="AP26" s="11">
        <v>1.1399999999999999</v>
      </c>
      <c r="AQ26" s="11">
        <v>1.21</v>
      </c>
    </row>
    <row r="27" spans="2:43" x14ac:dyDescent="0.3">
      <c r="C27" s="44">
        <v>7.01</v>
      </c>
      <c r="D27" s="44">
        <v>4.87</v>
      </c>
      <c r="E27" s="44">
        <v>5.94</v>
      </c>
      <c r="F27" s="57">
        <v>4.2699999999999996</v>
      </c>
      <c r="G27" s="57">
        <v>4.4000000000000004</v>
      </c>
      <c r="H27" s="57">
        <v>11.07</v>
      </c>
      <c r="I27" s="58">
        <v>6.87</v>
      </c>
      <c r="J27" s="58">
        <v>5.83</v>
      </c>
      <c r="K27" s="58">
        <v>5.24</v>
      </c>
      <c r="L27" s="11">
        <v>9.36</v>
      </c>
      <c r="M27" s="11">
        <v>3.11</v>
      </c>
      <c r="N27" s="11">
        <v>6.19</v>
      </c>
      <c r="O27" s="11">
        <v>5.48</v>
      </c>
      <c r="P27" s="11">
        <v>5.72</v>
      </c>
      <c r="Q27" s="11">
        <v>8.11</v>
      </c>
      <c r="R27" s="58">
        <v>10.82</v>
      </c>
      <c r="S27" s="58">
        <v>13.22</v>
      </c>
      <c r="T27" s="58"/>
      <c r="U27" s="57">
        <v>6.22</v>
      </c>
      <c r="V27" s="57">
        <v>7.95</v>
      </c>
      <c r="W27" s="57">
        <v>4.59</v>
      </c>
      <c r="X27" s="57">
        <v>7.4</v>
      </c>
      <c r="Y27" s="57">
        <v>8.52</v>
      </c>
      <c r="Z27" s="57">
        <v>7.71</v>
      </c>
      <c r="AA27" s="57"/>
      <c r="AE27" s="55">
        <v>2.87</v>
      </c>
      <c r="AF27" s="11"/>
      <c r="AG27" s="11">
        <v>2.27</v>
      </c>
      <c r="AH27" s="11">
        <v>3.44</v>
      </c>
      <c r="AI27" s="11">
        <v>3.43</v>
      </c>
      <c r="AJ27" s="11">
        <v>2.13</v>
      </c>
      <c r="AK27" s="11"/>
      <c r="AL27" s="11">
        <v>3.68</v>
      </c>
      <c r="AM27" s="59">
        <v>5.0599999999999996</v>
      </c>
      <c r="AN27" s="11">
        <v>1.69</v>
      </c>
      <c r="AO27" s="11">
        <v>1.51</v>
      </c>
      <c r="AP27" s="11">
        <v>0.94</v>
      </c>
      <c r="AQ27" s="11">
        <v>1.1200000000000001</v>
      </c>
    </row>
    <row r="28" spans="2:43" x14ac:dyDescent="0.3">
      <c r="C28" s="44">
        <v>5.24</v>
      </c>
      <c r="D28" s="44">
        <v>3.34</v>
      </c>
      <c r="E28" s="44">
        <v>4.1500000000000004</v>
      </c>
      <c r="F28" s="57">
        <v>3.43</v>
      </c>
      <c r="G28" s="57">
        <v>5.4</v>
      </c>
      <c r="H28" s="57">
        <v>10.09</v>
      </c>
      <c r="I28" s="58">
        <v>4.84</v>
      </c>
      <c r="J28" s="58">
        <v>5.1100000000000003</v>
      </c>
      <c r="K28" s="58">
        <v>4.6399999999999997</v>
      </c>
      <c r="L28" s="11">
        <v>5.57</v>
      </c>
      <c r="M28" s="11">
        <v>3.56</v>
      </c>
      <c r="N28" s="11">
        <v>4.95</v>
      </c>
      <c r="O28" s="11">
        <v>5.42</v>
      </c>
      <c r="P28" s="11">
        <v>4.3899999999999997</v>
      </c>
      <c r="Q28" s="11" t="e">
        <v>#N/A</v>
      </c>
      <c r="R28" s="58">
        <v>11.36</v>
      </c>
      <c r="S28" s="58">
        <v>11.51</v>
      </c>
      <c r="T28" s="58"/>
      <c r="U28" s="57">
        <v>5.0199999999999996</v>
      </c>
      <c r="V28" s="57">
        <v>7.66</v>
      </c>
      <c r="W28" s="57">
        <v>4.1100000000000003</v>
      </c>
      <c r="X28" s="57">
        <v>5.84</v>
      </c>
      <c r="Y28" s="57">
        <v>6.69</v>
      </c>
      <c r="Z28" t="e">
        <v>#N/A</v>
      </c>
      <c r="AA28" s="57"/>
      <c r="AE28" s="55">
        <v>2.84</v>
      </c>
      <c r="AF28" s="11"/>
      <c r="AG28" s="11">
        <v>2.13</v>
      </c>
      <c r="AH28" s="11">
        <v>3.46</v>
      </c>
      <c r="AI28" s="11">
        <v>2.95</v>
      </c>
      <c r="AJ28" s="11">
        <v>1.4</v>
      </c>
      <c r="AK28" s="11"/>
      <c r="AL28" s="11">
        <v>3.29</v>
      </c>
      <c r="AM28" s="59">
        <v>3.77</v>
      </c>
      <c r="AN28" s="11">
        <v>1.45</v>
      </c>
      <c r="AO28" s="11">
        <v>1.37</v>
      </c>
      <c r="AP28" s="11">
        <v>0.86</v>
      </c>
      <c r="AQ28" s="11">
        <v>0.87</v>
      </c>
    </row>
    <row r="29" spans="2:43" x14ac:dyDescent="0.3">
      <c r="C29" s="44">
        <v>5.23</v>
      </c>
      <c r="D29" s="44">
        <v>2.77</v>
      </c>
      <c r="E29" s="44">
        <v>4.2699999999999996</v>
      </c>
      <c r="F29" s="57">
        <v>2.21</v>
      </c>
      <c r="G29" s="57">
        <v>4.29</v>
      </c>
      <c r="H29" s="57">
        <v>8.66</v>
      </c>
      <c r="I29" s="58">
        <v>5.14</v>
      </c>
      <c r="J29" s="58">
        <v>5.14</v>
      </c>
      <c r="K29" s="58">
        <v>3.7</v>
      </c>
      <c r="L29" s="11">
        <v>4.21</v>
      </c>
      <c r="M29" s="11">
        <v>3</v>
      </c>
      <c r="N29" s="11">
        <v>4.3</v>
      </c>
      <c r="O29" s="11">
        <v>3.99</v>
      </c>
      <c r="P29" s="11">
        <v>4.1399999999999997</v>
      </c>
      <c r="Q29" s="11">
        <v>7.3</v>
      </c>
      <c r="R29" s="58">
        <v>7.64</v>
      </c>
      <c r="S29" s="58">
        <v>11.4</v>
      </c>
      <c r="T29" s="58"/>
      <c r="U29" s="57">
        <v>4.4000000000000004</v>
      </c>
      <c r="V29" s="57">
        <v>6.31</v>
      </c>
      <c r="W29" s="57">
        <v>3.64</v>
      </c>
      <c r="X29" s="57">
        <v>4.43</v>
      </c>
      <c r="Y29" s="57">
        <v>4.87</v>
      </c>
      <c r="Z29" t="e">
        <v>#N/A</v>
      </c>
      <c r="AA29" s="57"/>
      <c r="AE29" s="11"/>
      <c r="AF29" s="11"/>
      <c r="AG29" s="6">
        <v>1.95</v>
      </c>
      <c r="AH29" s="11"/>
      <c r="AI29" s="11"/>
      <c r="AJ29" s="11"/>
      <c r="AK29" s="11"/>
      <c r="AL29" s="11"/>
      <c r="AM29" s="59"/>
      <c r="AN29" s="11"/>
      <c r="AO29" s="11"/>
      <c r="AP29" s="11"/>
    </row>
    <row r="30" spans="2:43" x14ac:dyDescent="0.3">
      <c r="C30" s="44">
        <v>3.13</v>
      </c>
      <c r="D30" s="44"/>
      <c r="E30" s="44">
        <v>3.5</v>
      </c>
      <c r="F30" s="57">
        <v>2.48</v>
      </c>
      <c r="G30" s="57">
        <v>4.17</v>
      </c>
      <c r="H30" s="57">
        <v>7.14</v>
      </c>
      <c r="I30" s="58">
        <v>3.63</v>
      </c>
      <c r="J30" s="58">
        <v>3.84</v>
      </c>
      <c r="K30" s="58">
        <v>3.62</v>
      </c>
      <c r="L30" s="11">
        <v>3.96</v>
      </c>
      <c r="M30" s="11">
        <v>2.68</v>
      </c>
      <c r="N30" s="11">
        <v>3.43</v>
      </c>
      <c r="O30" s="11">
        <v>3.51</v>
      </c>
      <c r="P30" s="11" t="e">
        <v>#N/A</v>
      </c>
      <c r="Q30" s="11">
        <v>6.09</v>
      </c>
      <c r="R30" s="58">
        <v>5.36</v>
      </c>
      <c r="S30" s="58">
        <v>7.94</v>
      </c>
      <c r="T30" s="58"/>
      <c r="U30" s="57">
        <v>3.27</v>
      </c>
      <c r="V30" s="57">
        <v>3.53</v>
      </c>
      <c r="W30" s="57">
        <v>3.31</v>
      </c>
      <c r="X30" s="57">
        <v>2.85</v>
      </c>
      <c r="Y30" s="57">
        <v>3.15</v>
      </c>
      <c r="Z30" t="e">
        <v>#N/A</v>
      </c>
      <c r="AA30" s="57"/>
      <c r="AE30" s="11"/>
      <c r="AF30" s="11"/>
      <c r="AG30" s="11"/>
      <c r="AH30" s="11"/>
      <c r="AI30" s="11"/>
      <c r="AJ30" s="11"/>
      <c r="AK30" s="11"/>
      <c r="AL30" s="11"/>
      <c r="AM30" s="59"/>
      <c r="AN30" s="11"/>
      <c r="AO30" s="11"/>
      <c r="AP30" s="11"/>
    </row>
    <row r="31" spans="2:43" x14ac:dyDescent="0.3">
      <c r="C31" s="11"/>
      <c r="D31" s="11"/>
      <c r="E31" s="11"/>
      <c r="F31" s="59"/>
      <c r="G31" s="59"/>
      <c r="H31" s="58"/>
      <c r="I31" s="58"/>
      <c r="J31" s="58"/>
      <c r="K31" s="58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D31" t="s">
        <v>55</v>
      </c>
      <c r="AE31" s="55">
        <v>3.6</v>
      </c>
      <c r="AF31" s="11">
        <v>2.9</v>
      </c>
      <c r="AG31" s="11">
        <v>4.24</v>
      </c>
      <c r="AH31" s="11">
        <v>4.1900000000000004</v>
      </c>
      <c r="AI31" s="11">
        <v>3.74</v>
      </c>
      <c r="AJ31" s="11">
        <v>2.06</v>
      </c>
      <c r="AK31" s="11"/>
      <c r="AL31" s="11">
        <v>3.53</v>
      </c>
      <c r="AM31" s="59">
        <v>3.98</v>
      </c>
      <c r="AN31" s="11">
        <v>3.08</v>
      </c>
      <c r="AO31" s="11">
        <v>1.61</v>
      </c>
      <c r="AP31" s="11">
        <v>3.11</v>
      </c>
      <c r="AQ31" s="11">
        <v>1.92</v>
      </c>
    </row>
    <row r="32" spans="2:43" x14ac:dyDescent="0.3">
      <c r="I32" s="46"/>
      <c r="J32" s="46"/>
      <c r="K32" s="46"/>
      <c r="AE32" s="55">
        <v>5.09</v>
      </c>
      <c r="AF32" s="11"/>
      <c r="AG32" s="11">
        <v>4.54</v>
      </c>
      <c r="AH32" s="11">
        <v>5.23</v>
      </c>
      <c r="AI32" s="11">
        <v>4.04</v>
      </c>
      <c r="AJ32" s="11">
        <v>2.7</v>
      </c>
      <c r="AK32" s="11"/>
      <c r="AL32" s="11">
        <v>4.38</v>
      </c>
      <c r="AM32" s="59">
        <v>4.57</v>
      </c>
      <c r="AN32" s="11">
        <v>4.1399999999999997</v>
      </c>
      <c r="AO32" s="11">
        <v>2.2000000000000002</v>
      </c>
      <c r="AP32" s="11">
        <v>3.92</v>
      </c>
      <c r="AQ32" s="11">
        <v>2.15</v>
      </c>
    </row>
    <row r="33" spans="9:43" x14ac:dyDescent="0.3">
      <c r="I33" s="46"/>
      <c r="J33" s="46"/>
      <c r="K33" s="46"/>
      <c r="AE33" s="11"/>
      <c r="AF33" s="11"/>
      <c r="AG33" s="11"/>
      <c r="AH33" s="11"/>
      <c r="AI33" s="11"/>
      <c r="AJ33" s="11"/>
      <c r="AK33" s="11"/>
      <c r="AL33" s="11"/>
      <c r="AM33" s="59"/>
      <c r="AN33" s="11"/>
      <c r="AO33" s="11"/>
      <c r="AP33" s="11"/>
    </row>
    <row r="34" spans="9:43" x14ac:dyDescent="0.3">
      <c r="I34" s="46"/>
      <c r="J34" s="46"/>
      <c r="K34" s="46"/>
      <c r="AD34" t="s">
        <v>69</v>
      </c>
      <c r="AE34" s="55">
        <v>6.09</v>
      </c>
      <c r="AF34" s="11">
        <v>3.58</v>
      </c>
      <c r="AG34" s="11">
        <v>7.13</v>
      </c>
      <c r="AH34" s="11">
        <v>6.74</v>
      </c>
      <c r="AI34" s="11">
        <v>6.49</v>
      </c>
      <c r="AJ34" s="11">
        <v>3.56</v>
      </c>
      <c r="AK34" s="11"/>
      <c r="AL34" s="11">
        <v>5.0199999999999996</v>
      </c>
      <c r="AM34" s="59">
        <v>5</v>
      </c>
      <c r="AN34" s="11">
        <v>3.51</v>
      </c>
      <c r="AO34" s="11">
        <v>3.56</v>
      </c>
      <c r="AP34" s="11">
        <v>2.38</v>
      </c>
      <c r="AQ34" s="11">
        <v>2.79</v>
      </c>
    </row>
    <row r="35" spans="9:43" x14ac:dyDescent="0.3">
      <c r="AE35" s="55">
        <v>5.26</v>
      </c>
      <c r="AF35" s="11">
        <v>2.61</v>
      </c>
      <c r="AG35" s="11">
        <v>6.18</v>
      </c>
      <c r="AH35" s="11">
        <v>6.2</v>
      </c>
      <c r="AI35" s="11">
        <v>5.78</v>
      </c>
      <c r="AJ35" s="11">
        <v>3.55</v>
      </c>
      <c r="AK35" s="11"/>
      <c r="AL35" s="11">
        <v>5.07</v>
      </c>
      <c r="AM35" s="59">
        <v>4.6100000000000003</v>
      </c>
      <c r="AN35" s="11">
        <v>3.02</v>
      </c>
      <c r="AO35" s="11">
        <v>2.25</v>
      </c>
      <c r="AP35" s="11">
        <v>3.23</v>
      </c>
      <c r="AQ35" s="11">
        <v>1.95</v>
      </c>
    </row>
    <row r="36" spans="9:43" x14ac:dyDescent="0.3">
      <c r="AE36" s="55">
        <v>4.05</v>
      </c>
      <c r="AF36" s="11">
        <v>2.48</v>
      </c>
      <c r="AG36" s="11">
        <v>5.28</v>
      </c>
      <c r="AH36" s="11">
        <v>5.29</v>
      </c>
      <c r="AI36" s="11">
        <v>3.9</v>
      </c>
      <c r="AJ36" s="11">
        <v>2.77</v>
      </c>
      <c r="AK36" s="11"/>
      <c r="AL36" s="11">
        <v>4.08</v>
      </c>
      <c r="AM36" s="59">
        <v>4.29</v>
      </c>
      <c r="AN36" s="11">
        <v>2.4500000000000002</v>
      </c>
      <c r="AO36" s="11">
        <v>2.54</v>
      </c>
      <c r="AP36" s="11">
        <v>1.51</v>
      </c>
      <c r="AQ36" s="11">
        <v>1.8</v>
      </c>
    </row>
    <row r="37" spans="9:43" x14ac:dyDescent="0.3">
      <c r="AE37" s="55">
        <v>3.43</v>
      </c>
      <c r="AF37" s="11"/>
      <c r="AG37" s="11">
        <v>4.28</v>
      </c>
      <c r="AH37" s="11">
        <v>4.7300000000000004</v>
      </c>
      <c r="AI37" s="11">
        <v>3.67</v>
      </c>
      <c r="AJ37" s="11">
        <v>2.2400000000000002</v>
      </c>
      <c r="AK37" s="11"/>
      <c r="AL37" s="11">
        <v>3.83</v>
      </c>
      <c r="AM37" s="59">
        <v>4.2699999999999996</v>
      </c>
      <c r="AN37" s="11">
        <v>1.93</v>
      </c>
      <c r="AO37" s="11">
        <v>2.27</v>
      </c>
      <c r="AP37" s="11">
        <v>1.46</v>
      </c>
      <c r="AQ37" s="11">
        <v>1.32</v>
      </c>
    </row>
    <row r="38" spans="9:43" x14ac:dyDescent="0.3">
      <c r="AE38" s="55">
        <v>2.9</v>
      </c>
      <c r="AF38" s="11"/>
      <c r="AG38" s="11">
        <v>3.82</v>
      </c>
      <c r="AH38" s="11">
        <v>3.95</v>
      </c>
      <c r="AI38" s="11">
        <v>3.78</v>
      </c>
      <c r="AJ38" s="11">
        <v>2.13</v>
      </c>
      <c r="AK38" s="11"/>
      <c r="AL38" s="11" t="e">
        <v>#N/A</v>
      </c>
      <c r="AM38" s="59">
        <v>4.0199999999999996</v>
      </c>
      <c r="AN38" s="11">
        <v>1.93</v>
      </c>
      <c r="AO38" s="11">
        <v>1.95</v>
      </c>
      <c r="AP38" s="11">
        <v>0.92</v>
      </c>
      <c r="AQ38" s="11">
        <v>1.27</v>
      </c>
    </row>
    <row r="39" spans="9:43" x14ac:dyDescent="0.3">
      <c r="AE39" s="11"/>
      <c r="AF39" s="11"/>
      <c r="AG39" s="11"/>
      <c r="AH39" s="11"/>
      <c r="AI39" s="11"/>
      <c r="AJ39" s="11"/>
      <c r="AK39" s="11"/>
      <c r="AL39" s="11"/>
      <c r="AM39" s="59"/>
      <c r="AN39" s="11"/>
      <c r="AO39" s="11"/>
      <c r="AP39" s="11"/>
    </row>
    <row r="40" spans="9:43" x14ac:dyDescent="0.3">
      <c r="AD40" t="s">
        <v>56</v>
      </c>
      <c r="AE40" s="55">
        <v>2.95</v>
      </c>
      <c r="AF40" s="11">
        <v>2.88</v>
      </c>
      <c r="AG40" s="11">
        <v>3.89</v>
      </c>
      <c r="AH40" s="11">
        <v>5.04</v>
      </c>
      <c r="AI40" s="11">
        <v>3.64</v>
      </c>
      <c r="AJ40" s="11">
        <v>2.5</v>
      </c>
      <c r="AK40" s="11"/>
      <c r="AL40" s="11">
        <v>4.9000000000000004</v>
      </c>
      <c r="AM40" s="59">
        <v>4.24</v>
      </c>
      <c r="AN40" s="11">
        <v>3.8</v>
      </c>
      <c r="AO40" s="11">
        <v>2.2000000000000002</v>
      </c>
      <c r="AP40" s="11">
        <v>2.54</v>
      </c>
      <c r="AQ40" s="11">
        <v>1.77</v>
      </c>
    </row>
    <row r="41" spans="9:43" x14ac:dyDescent="0.3">
      <c r="AE41" s="55">
        <v>4.03</v>
      </c>
      <c r="AF41" s="11" t="e">
        <v>#N/A</v>
      </c>
      <c r="AG41" s="11">
        <v>4.68</v>
      </c>
      <c r="AH41" s="11">
        <v>6.4</v>
      </c>
      <c r="AI41" s="11">
        <v>4.26</v>
      </c>
      <c r="AJ41" s="11">
        <v>3.6</v>
      </c>
      <c r="AK41" s="11"/>
      <c r="AL41" s="11" t="e">
        <v>#N/A</v>
      </c>
      <c r="AM41" s="59">
        <v>5.58</v>
      </c>
      <c r="AN41" s="11">
        <v>5.03</v>
      </c>
      <c r="AO41" s="11">
        <v>3.32</v>
      </c>
      <c r="AP41" s="11">
        <v>2.92</v>
      </c>
      <c r="AQ41" s="11">
        <v>2.37</v>
      </c>
    </row>
    <row r="42" spans="9:43" x14ac:dyDescent="0.3">
      <c r="AE42" s="11"/>
      <c r="AF42" s="11"/>
      <c r="AG42" s="11"/>
      <c r="AH42" s="11"/>
      <c r="AI42" s="11"/>
      <c r="AJ42" s="11"/>
      <c r="AK42" s="11"/>
      <c r="AL42" s="11"/>
      <c r="AM42" s="59"/>
      <c r="AN42" s="11"/>
      <c r="AO42" s="11"/>
      <c r="AP42" s="11"/>
    </row>
    <row r="43" spans="9:43" x14ac:dyDescent="0.3">
      <c r="AD43" t="s">
        <v>70</v>
      </c>
      <c r="AE43" s="55">
        <v>5.55</v>
      </c>
      <c r="AF43" s="11">
        <v>2.98</v>
      </c>
      <c r="AG43" s="11">
        <v>5.27</v>
      </c>
      <c r="AH43" s="11">
        <v>8.06</v>
      </c>
      <c r="AI43" s="11">
        <v>4.8899999999999997</v>
      </c>
      <c r="AJ43" s="11">
        <v>4.22</v>
      </c>
      <c r="AK43" s="11"/>
      <c r="AL43" s="11">
        <v>6.16</v>
      </c>
      <c r="AM43" s="59">
        <v>6.98</v>
      </c>
      <c r="AN43" s="11">
        <v>5.08</v>
      </c>
      <c r="AO43" s="11">
        <v>3.26</v>
      </c>
      <c r="AP43" s="11">
        <v>2.81</v>
      </c>
      <c r="AQ43" s="11">
        <v>3.98</v>
      </c>
    </row>
    <row r="44" spans="9:43" x14ac:dyDescent="0.3">
      <c r="AE44" s="55">
        <v>3.89</v>
      </c>
      <c r="AF44" s="11">
        <v>3.08</v>
      </c>
      <c r="AG44" s="11">
        <v>4.41</v>
      </c>
      <c r="AH44" s="11">
        <v>7.83</v>
      </c>
      <c r="AI44" s="11">
        <v>5.63</v>
      </c>
      <c r="AJ44" s="11">
        <v>3.94</v>
      </c>
      <c r="AK44" s="11"/>
      <c r="AL44" s="11">
        <v>6.06</v>
      </c>
      <c r="AM44" s="59">
        <v>5.84</v>
      </c>
      <c r="AN44" s="11">
        <v>3.81</v>
      </c>
      <c r="AO44" s="11">
        <v>2.8</v>
      </c>
      <c r="AP44" s="11">
        <v>2.13</v>
      </c>
      <c r="AQ44" s="11">
        <v>3.62</v>
      </c>
    </row>
    <row r="45" spans="9:43" x14ac:dyDescent="0.3">
      <c r="AE45" s="55">
        <v>3.41</v>
      </c>
      <c r="AF45" s="11">
        <v>2.72</v>
      </c>
      <c r="AG45" s="11">
        <v>4.01</v>
      </c>
      <c r="AH45" s="11">
        <v>6.2</v>
      </c>
      <c r="AI45" s="11">
        <v>4.08</v>
      </c>
      <c r="AJ45" s="11">
        <v>3.2</v>
      </c>
      <c r="AK45" s="11"/>
      <c r="AL45" s="11">
        <v>4.92</v>
      </c>
      <c r="AM45" s="59">
        <v>5.05</v>
      </c>
      <c r="AN45" s="11">
        <v>3.38</v>
      </c>
      <c r="AO45" s="11">
        <v>1.93</v>
      </c>
      <c r="AP45" s="11">
        <v>1.68</v>
      </c>
      <c r="AQ45" s="11">
        <v>2.0099999999999998</v>
      </c>
    </row>
    <row r="46" spans="9:43" x14ac:dyDescent="0.3">
      <c r="AE46" s="55">
        <v>3.38</v>
      </c>
      <c r="AF46" s="11"/>
      <c r="AG46" s="11">
        <v>2.84</v>
      </c>
      <c r="AH46" s="11">
        <v>6</v>
      </c>
      <c r="AI46" s="11">
        <v>3.59</v>
      </c>
      <c r="AJ46" s="11">
        <v>2.93</v>
      </c>
      <c r="AK46" s="11"/>
      <c r="AL46" s="11">
        <v>4.0599999999999996</v>
      </c>
      <c r="AM46" s="59">
        <v>4.63</v>
      </c>
      <c r="AN46" s="11">
        <v>2.98</v>
      </c>
      <c r="AO46" s="11">
        <v>1.95</v>
      </c>
      <c r="AP46" s="11">
        <v>1.36</v>
      </c>
      <c r="AQ46" s="11">
        <v>1.64</v>
      </c>
    </row>
    <row r="47" spans="9:43" x14ac:dyDescent="0.3">
      <c r="AE47" s="55">
        <v>2.89</v>
      </c>
      <c r="AF47" s="11"/>
      <c r="AG47" s="11">
        <v>2.85</v>
      </c>
      <c r="AH47" s="11">
        <v>4.58</v>
      </c>
      <c r="AI47" s="11">
        <v>3.96</v>
      </c>
      <c r="AJ47" s="11">
        <v>2.56</v>
      </c>
      <c r="AK47" s="11"/>
      <c r="AL47" s="11">
        <v>3.71</v>
      </c>
      <c r="AM47" s="59">
        <v>4.63</v>
      </c>
      <c r="AN47" s="11">
        <v>2.35</v>
      </c>
      <c r="AO47" s="11">
        <v>1.68</v>
      </c>
      <c r="AP47" s="11">
        <v>1.1599999999999999</v>
      </c>
      <c r="AQ47" s="11">
        <v>1.23</v>
      </c>
    </row>
    <row r="48" spans="9:43" x14ac:dyDescent="0.3">
      <c r="AE48" s="11"/>
      <c r="AF48" s="11"/>
      <c r="AG48" s="11"/>
      <c r="AH48" s="11"/>
      <c r="AI48" s="11"/>
      <c r="AJ48" s="11"/>
      <c r="AK48" s="11"/>
      <c r="AL48" s="11"/>
      <c r="AM48" s="59"/>
      <c r="AN48" s="11"/>
      <c r="AO48" s="11"/>
      <c r="AP48" s="11"/>
    </row>
    <row r="49" spans="30:43" x14ac:dyDescent="0.3">
      <c r="AD49" t="s">
        <v>58</v>
      </c>
      <c r="AE49" s="55">
        <v>5.2</v>
      </c>
      <c r="AF49" s="11">
        <v>5.04</v>
      </c>
      <c r="AG49" s="11">
        <v>3.56</v>
      </c>
      <c r="AH49" s="11">
        <v>4.84</v>
      </c>
      <c r="AI49" s="11">
        <v>3.44</v>
      </c>
      <c r="AJ49" s="11">
        <v>2.82</v>
      </c>
      <c r="AK49" s="11"/>
      <c r="AL49" s="11">
        <v>4.18</v>
      </c>
      <c r="AM49" s="59">
        <v>4.8099999999999996</v>
      </c>
      <c r="AN49" s="11">
        <v>3.88</v>
      </c>
      <c r="AO49" s="11">
        <v>3.41</v>
      </c>
      <c r="AP49" s="11">
        <v>2.67</v>
      </c>
      <c r="AQ49" s="11">
        <v>2.93</v>
      </c>
    </row>
    <row r="50" spans="30:43" x14ac:dyDescent="0.3">
      <c r="AE50" s="55">
        <v>5.66</v>
      </c>
      <c r="AF50" s="11"/>
      <c r="AG50" s="11">
        <v>5.34</v>
      </c>
      <c r="AH50" s="11" t="e">
        <v>#N/A</v>
      </c>
      <c r="AI50" s="11">
        <v>4.6500000000000004</v>
      </c>
      <c r="AJ50" s="11">
        <v>4.57</v>
      </c>
      <c r="AK50" s="11"/>
      <c r="AL50" s="11" t="e">
        <v>#N/A</v>
      </c>
      <c r="AM50" s="59">
        <v>5.3</v>
      </c>
      <c r="AN50" s="11">
        <v>5.63</v>
      </c>
      <c r="AO50" s="11">
        <v>5.21</v>
      </c>
      <c r="AP50" s="11">
        <v>4.7300000000000004</v>
      </c>
      <c r="AQ50" s="11">
        <v>4.1100000000000003</v>
      </c>
    </row>
    <row r="51" spans="30:43" x14ac:dyDescent="0.3">
      <c r="AE51" s="11"/>
      <c r="AF51" s="11"/>
      <c r="AG51" s="11"/>
      <c r="AH51" s="11"/>
      <c r="AI51" s="11"/>
      <c r="AJ51" s="11"/>
      <c r="AK51" s="11"/>
      <c r="AL51" s="11"/>
      <c r="AM51" s="59"/>
      <c r="AN51" s="11"/>
      <c r="AO51" s="11"/>
      <c r="AP51" s="11"/>
    </row>
    <row r="52" spans="30:43" x14ac:dyDescent="0.3">
      <c r="AD52" t="s">
        <v>71</v>
      </c>
      <c r="AE52" s="55">
        <v>7.11</v>
      </c>
      <c r="AF52" s="11">
        <v>4.96</v>
      </c>
      <c r="AG52" s="11">
        <v>6.98</v>
      </c>
      <c r="AH52" s="11">
        <v>9.94</v>
      </c>
      <c r="AI52" s="11">
        <v>6.42</v>
      </c>
      <c r="AJ52" s="11">
        <v>5.92</v>
      </c>
      <c r="AK52" s="11"/>
      <c r="AL52" s="11">
        <v>5.13</v>
      </c>
      <c r="AM52" s="59">
        <v>6.58</v>
      </c>
      <c r="AN52" s="11">
        <v>6.48</v>
      </c>
      <c r="AO52" s="11">
        <v>4.87</v>
      </c>
      <c r="AP52" s="11">
        <v>4.54</v>
      </c>
      <c r="AQ52" s="11">
        <v>4.75</v>
      </c>
    </row>
    <row r="53" spans="30:43" x14ac:dyDescent="0.3">
      <c r="AE53" s="55">
        <v>3.54</v>
      </c>
      <c r="AF53" s="11">
        <v>4.62</v>
      </c>
      <c r="AG53" s="11">
        <v>5.64</v>
      </c>
      <c r="AH53" s="11">
        <v>8.7899999999999991</v>
      </c>
      <c r="AI53" s="11">
        <v>6.48</v>
      </c>
      <c r="AJ53" s="11">
        <v>5.23</v>
      </c>
      <c r="AK53" s="11"/>
      <c r="AL53" s="11">
        <v>4.87</v>
      </c>
      <c r="AM53" s="59">
        <v>5.58</v>
      </c>
      <c r="AN53" s="11">
        <v>4.57</v>
      </c>
      <c r="AO53" s="11">
        <v>4.59</v>
      </c>
      <c r="AP53" s="11">
        <v>3.67</v>
      </c>
      <c r="AQ53" s="11">
        <v>3.97</v>
      </c>
    </row>
    <row r="54" spans="30:43" x14ac:dyDescent="0.3">
      <c r="AE54" s="55">
        <v>4.4800000000000004</v>
      </c>
      <c r="AF54" s="11">
        <v>3.96</v>
      </c>
      <c r="AG54" s="11">
        <v>3.99</v>
      </c>
      <c r="AH54" s="11">
        <v>8.3800000000000008</v>
      </c>
      <c r="AI54" s="11">
        <v>5.43</v>
      </c>
      <c r="AJ54" s="11">
        <v>5.28</v>
      </c>
      <c r="AK54" s="11"/>
      <c r="AL54" s="11">
        <v>5.26</v>
      </c>
      <c r="AM54" s="59">
        <v>4.96</v>
      </c>
      <c r="AN54" s="11">
        <v>4.8499999999999996</v>
      </c>
      <c r="AO54" s="11">
        <v>4.0599999999999996</v>
      </c>
      <c r="AP54" s="11">
        <v>3.03</v>
      </c>
      <c r="AQ54" s="11">
        <v>3.31</v>
      </c>
    </row>
    <row r="55" spans="30:43" x14ac:dyDescent="0.3">
      <c r="AE55" s="55">
        <v>4.3099999999999996</v>
      </c>
      <c r="AF55" s="11"/>
      <c r="AG55" s="11">
        <v>5.48</v>
      </c>
      <c r="AH55" s="11">
        <v>7.39</v>
      </c>
      <c r="AI55" s="11">
        <v>4.7</v>
      </c>
      <c r="AJ55" s="11">
        <v>5.17</v>
      </c>
      <c r="AK55" s="11"/>
      <c r="AL55" s="11">
        <v>5.22</v>
      </c>
      <c r="AM55" s="59">
        <v>4.58</v>
      </c>
      <c r="AN55" s="11">
        <v>3.97</v>
      </c>
      <c r="AO55" s="11">
        <v>3.51</v>
      </c>
      <c r="AP55" s="11">
        <v>2.0499999999999998</v>
      </c>
      <c r="AQ55" s="11">
        <v>2.27</v>
      </c>
    </row>
    <row r="56" spans="30:43" x14ac:dyDescent="0.3">
      <c r="AE56" s="55">
        <v>3.48</v>
      </c>
      <c r="AF56" s="11"/>
      <c r="AG56" s="11">
        <v>4.0199999999999996</v>
      </c>
      <c r="AH56" s="11">
        <v>7.48</v>
      </c>
      <c r="AI56" s="11">
        <v>5.03</v>
      </c>
      <c r="AJ56" s="11">
        <v>4.01</v>
      </c>
      <c r="AK56" s="11"/>
      <c r="AL56" s="11">
        <v>4.91</v>
      </c>
      <c r="AM56" s="59">
        <v>4.3600000000000003</v>
      </c>
      <c r="AN56" s="11">
        <v>3.15</v>
      </c>
      <c r="AO56" s="11">
        <v>3.44</v>
      </c>
      <c r="AP56" s="11">
        <v>1.89</v>
      </c>
      <c r="AQ56" s="11">
        <v>1.74</v>
      </c>
    </row>
    <row r="57" spans="30:43" x14ac:dyDescent="0.3">
      <c r="AE57" s="11"/>
      <c r="AF57" s="11"/>
      <c r="AG57" s="11"/>
      <c r="AH57" s="11"/>
      <c r="AI57" s="11"/>
      <c r="AJ57" s="11"/>
      <c r="AK57" s="11"/>
      <c r="AL57" s="11"/>
      <c r="AM57" s="59"/>
      <c r="AN57" s="11"/>
      <c r="AP57" s="11"/>
    </row>
    <row r="58" spans="30:43" x14ac:dyDescent="0.3">
      <c r="AD58" t="s">
        <v>60</v>
      </c>
      <c r="AE58" s="55">
        <v>3.85</v>
      </c>
      <c r="AF58" s="11" t="e">
        <v>#N/A</v>
      </c>
      <c r="AG58" s="11">
        <v>3.73</v>
      </c>
      <c r="AH58" s="11">
        <v>6.96</v>
      </c>
      <c r="AI58" s="11">
        <v>5.08</v>
      </c>
      <c r="AJ58" s="11">
        <v>4.1100000000000003</v>
      </c>
      <c r="AK58" s="11"/>
      <c r="AL58" s="11">
        <v>4.2</v>
      </c>
      <c r="AM58" s="59">
        <v>4.3899999999999997</v>
      </c>
      <c r="AN58" s="11">
        <v>4.45</v>
      </c>
      <c r="AO58" s="11">
        <v>3.22</v>
      </c>
      <c r="AP58" s="11">
        <v>3.91</v>
      </c>
      <c r="AQ58" s="11">
        <v>2.67</v>
      </c>
    </row>
    <row r="59" spans="30:43" x14ac:dyDescent="0.3">
      <c r="AE59" s="11" t="e">
        <v>#N/A</v>
      </c>
      <c r="AF59" s="11" t="e">
        <v>#N/A</v>
      </c>
      <c r="AG59" s="11">
        <v>5.78</v>
      </c>
      <c r="AH59" s="11" t="e">
        <v>#N/A</v>
      </c>
      <c r="AI59" s="11">
        <v>6.46</v>
      </c>
      <c r="AJ59" s="11">
        <v>4.72</v>
      </c>
      <c r="AK59" s="11"/>
      <c r="AL59" s="11">
        <v>5.66</v>
      </c>
      <c r="AM59" s="59">
        <v>5.96</v>
      </c>
      <c r="AN59" s="11">
        <v>7.52</v>
      </c>
      <c r="AO59" s="11">
        <v>4.45</v>
      </c>
      <c r="AP59" s="11">
        <v>5.37</v>
      </c>
      <c r="AQ59" s="11">
        <v>3.99</v>
      </c>
    </row>
    <row r="60" spans="30:43" x14ac:dyDescent="0.3">
      <c r="AE60" s="11"/>
      <c r="AF60" s="11"/>
      <c r="AG60" s="11"/>
      <c r="AH60" s="11"/>
      <c r="AI60" s="11"/>
      <c r="AJ60" s="11"/>
      <c r="AK60" s="11"/>
      <c r="AL60" s="11"/>
      <c r="AM60" s="59"/>
      <c r="AN60" s="11"/>
      <c r="AO60" s="11"/>
      <c r="AP60" s="11"/>
    </row>
    <row r="61" spans="30:43" x14ac:dyDescent="0.3">
      <c r="AD61" t="s">
        <v>146</v>
      </c>
      <c r="AE61" s="55">
        <v>4.84</v>
      </c>
      <c r="AF61" s="11">
        <v>6.58</v>
      </c>
      <c r="AG61" s="11">
        <v>8.9</v>
      </c>
      <c r="AH61" s="11">
        <v>9.41</v>
      </c>
      <c r="AI61" s="11">
        <v>9.5399999999999991</v>
      </c>
      <c r="AJ61" s="11">
        <v>6.25</v>
      </c>
      <c r="AK61" s="11"/>
      <c r="AL61" s="11">
        <v>6.8</v>
      </c>
      <c r="AM61" s="59">
        <v>7.52</v>
      </c>
      <c r="AN61" s="11">
        <v>6.82</v>
      </c>
      <c r="AO61" s="11">
        <v>5.83</v>
      </c>
      <c r="AP61" s="11">
        <v>6.29</v>
      </c>
      <c r="AQ61" s="11">
        <v>4.67</v>
      </c>
    </row>
    <row r="62" spans="30:43" x14ac:dyDescent="0.3">
      <c r="AE62" s="55">
        <v>4.74</v>
      </c>
      <c r="AF62" s="11">
        <v>5.65</v>
      </c>
      <c r="AG62" s="11">
        <v>6.3</v>
      </c>
      <c r="AH62" s="11">
        <v>8.19</v>
      </c>
      <c r="AI62" s="11">
        <v>9.49</v>
      </c>
      <c r="AJ62" s="11">
        <v>4.75</v>
      </c>
      <c r="AK62" s="11"/>
      <c r="AL62" s="11">
        <v>5.99</v>
      </c>
      <c r="AM62" s="59">
        <v>7.29</v>
      </c>
      <c r="AN62" s="11">
        <v>6.45</v>
      </c>
      <c r="AO62" s="11">
        <v>5.42</v>
      </c>
      <c r="AP62" s="11">
        <v>4.79</v>
      </c>
      <c r="AQ62" s="11">
        <v>3.65</v>
      </c>
    </row>
    <row r="63" spans="30:43" x14ac:dyDescent="0.3">
      <c r="AE63" s="55">
        <v>5.07</v>
      </c>
      <c r="AF63" s="11">
        <v>4.63</v>
      </c>
      <c r="AG63" s="11">
        <v>5.44</v>
      </c>
      <c r="AH63" s="11">
        <v>7.63</v>
      </c>
      <c r="AI63" s="11">
        <v>8.2100000000000009</v>
      </c>
      <c r="AJ63" s="11">
        <v>4.6500000000000004</v>
      </c>
      <c r="AK63" s="11"/>
      <c r="AL63" s="11">
        <v>7.91</v>
      </c>
      <c r="AM63" s="59">
        <v>6.8</v>
      </c>
      <c r="AN63" s="11">
        <v>5.44</v>
      </c>
      <c r="AO63" s="11">
        <v>5.56</v>
      </c>
      <c r="AP63" s="11">
        <v>4.62</v>
      </c>
      <c r="AQ63" s="11">
        <v>2.98</v>
      </c>
    </row>
    <row r="64" spans="30:43" x14ac:dyDescent="0.3">
      <c r="AE64" s="55">
        <v>5.01</v>
      </c>
      <c r="AF64" s="11">
        <v>4.29</v>
      </c>
      <c r="AG64" s="11">
        <v>5.99</v>
      </c>
      <c r="AH64" s="11">
        <v>7.52</v>
      </c>
      <c r="AI64" s="11">
        <v>7.66</v>
      </c>
      <c r="AJ64" s="11">
        <v>4.12</v>
      </c>
      <c r="AK64" s="11"/>
      <c r="AL64" s="11">
        <v>6.25</v>
      </c>
      <c r="AM64" s="59">
        <v>5.5</v>
      </c>
      <c r="AN64" s="11">
        <v>4.49</v>
      </c>
      <c r="AO64" s="11">
        <v>4.6100000000000003</v>
      </c>
      <c r="AP64" s="11">
        <v>3.27</v>
      </c>
      <c r="AQ64" s="11">
        <v>1.64</v>
      </c>
    </row>
    <row r="65" spans="1:43" x14ac:dyDescent="0.3">
      <c r="AE65" s="55">
        <v>3.82</v>
      </c>
      <c r="AF65" s="11">
        <v>3.89</v>
      </c>
      <c r="AG65" s="11">
        <v>4.5199999999999996</v>
      </c>
      <c r="AH65" s="11">
        <v>5.65</v>
      </c>
      <c r="AI65" s="11">
        <v>7.19</v>
      </c>
      <c r="AJ65" s="11">
        <v>3.26</v>
      </c>
      <c r="AK65" s="11"/>
      <c r="AL65" s="11">
        <v>6.32</v>
      </c>
      <c r="AM65" s="59">
        <v>4.62</v>
      </c>
      <c r="AN65" s="11">
        <v>3.51</v>
      </c>
      <c r="AO65" s="11">
        <v>3.85</v>
      </c>
      <c r="AP65" s="11">
        <v>3.2</v>
      </c>
      <c r="AQ65" s="11">
        <v>1.72</v>
      </c>
    </row>
    <row r="66" spans="1:43" x14ac:dyDescent="0.3">
      <c r="AE66" s="55">
        <v>3.18</v>
      </c>
      <c r="AF66" s="11">
        <v>2.1800000000000002</v>
      </c>
      <c r="AG66" s="11"/>
      <c r="AH66" s="11">
        <v>5.15</v>
      </c>
      <c r="AI66" s="11">
        <v>5.97</v>
      </c>
      <c r="AJ66" s="11">
        <v>2.46</v>
      </c>
      <c r="AK66" s="11"/>
      <c r="AL66" s="11">
        <v>3.86</v>
      </c>
      <c r="AM66" s="59">
        <v>3.83</v>
      </c>
      <c r="AN66" s="11">
        <v>2.36</v>
      </c>
      <c r="AO66" s="11">
        <v>2.76</v>
      </c>
      <c r="AP66" s="11"/>
      <c r="AQ66" s="11">
        <v>1.25</v>
      </c>
    </row>
    <row r="67" spans="1:43" x14ac:dyDescent="0.3">
      <c r="AE67" s="55">
        <v>3.82</v>
      </c>
      <c r="AF67" s="11"/>
      <c r="AG67" s="11"/>
      <c r="AH67" s="11"/>
      <c r="AI67" s="11"/>
      <c r="AJ67" s="11"/>
      <c r="AK67" s="11"/>
      <c r="AL67" s="11"/>
      <c r="AN67" s="11">
        <v>1.82</v>
      </c>
    </row>
    <row r="68" spans="1:43" x14ac:dyDescent="0.3">
      <c r="AE68" s="55">
        <v>3.18</v>
      </c>
      <c r="AF68" s="11"/>
      <c r="AG68" s="11"/>
      <c r="AH68" s="11"/>
      <c r="AI68" s="11"/>
      <c r="AJ68" s="11"/>
      <c r="AK68" s="11"/>
      <c r="AL68" s="11"/>
    </row>
    <row r="69" spans="1:43" s="3" customFormat="1" ht="4.5999999999999996" customHeight="1" x14ac:dyDescent="0.3">
      <c r="A69"/>
      <c r="B69"/>
      <c r="C69"/>
      <c r="D69"/>
      <c r="E69"/>
      <c r="F69" s="31"/>
      <c r="G69" s="31"/>
      <c r="H69" s="31"/>
      <c r="I69" s="31"/>
      <c r="J69" s="31"/>
      <c r="K69" s="31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0"/>
      <c r="AM69" s="118"/>
    </row>
    <row r="70" spans="1:43" x14ac:dyDescent="0.3">
      <c r="AD70" t="s">
        <v>213</v>
      </c>
      <c r="AP70">
        <v>4.25</v>
      </c>
    </row>
    <row r="71" spans="1:43" x14ac:dyDescent="0.3">
      <c r="AP71" t="e">
        <v>#N/A</v>
      </c>
    </row>
    <row r="73" spans="1:43" x14ac:dyDescent="0.3">
      <c r="AD73" t="s">
        <v>214</v>
      </c>
      <c r="AP73">
        <v>9.3800000000000008</v>
      </c>
    </row>
    <row r="74" spans="1:43" x14ac:dyDescent="0.3">
      <c r="AP74">
        <v>9.8699999999999992</v>
      </c>
    </row>
    <row r="75" spans="1:43" x14ac:dyDescent="0.3">
      <c r="AP75">
        <v>8.31</v>
      </c>
    </row>
    <row r="76" spans="1:43" x14ac:dyDescent="0.3">
      <c r="AP76">
        <v>6.75</v>
      </c>
    </row>
    <row r="77" spans="1:43" x14ac:dyDescent="0.3">
      <c r="AP77">
        <v>6.41</v>
      </c>
    </row>
    <row r="79" spans="1:43" x14ac:dyDescent="0.3">
      <c r="AD79" t="s">
        <v>215</v>
      </c>
      <c r="AP79">
        <v>4.37</v>
      </c>
    </row>
    <row r="80" spans="1:43" x14ac:dyDescent="0.3">
      <c r="AP80" t="e">
        <v>#N/A</v>
      </c>
    </row>
    <row r="82" spans="1:42" x14ac:dyDescent="0.3">
      <c r="AD82" t="s">
        <v>216</v>
      </c>
      <c r="AP82">
        <v>9.39</v>
      </c>
    </row>
    <row r="83" spans="1:42" x14ac:dyDescent="0.3">
      <c r="AP83">
        <v>8.64</v>
      </c>
    </row>
    <row r="84" spans="1:42" x14ac:dyDescent="0.3">
      <c r="AP84">
        <v>6.89</v>
      </c>
    </row>
    <row r="85" spans="1:42" x14ac:dyDescent="0.3">
      <c r="AP85">
        <v>5.36</v>
      </c>
    </row>
    <row r="86" spans="1:42" x14ac:dyDescent="0.3">
      <c r="AP86">
        <v>5.59</v>
      </c>
    </row>
    <row r="87" spans="1:42" x14ac:dyDescent="0.3">
      <c r="AP87">
        <v>3.35</v>
      </c>
    </row>
    <row r="88" spans="1:42" s="30" customFormat="1" ht="8.5500000000000007" customHeight="1" x14ac:dyDescent="0.3">
      <c r="A88"/>
      <c r="B88"/>
      <c r="C88"/>
      <c r="D88"/>
      <c r="E88"/>
      <c r="F88" s="31"/>
      <c r="G88" s="31"/>
      <c r="H88" s="31"/>
      <c r="I88" s="31"/>
      <c r="J88" s="31"/>
      <c r="K88" s="31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M88" s="119"/>
    </row>
    <row r="89" spans="1:42" x14ac:dyDescent="0.3">
      <c r="AD89" s="1" t="s">
        <v>96</v>
      </c>
      <c r="AG89" t="s">
        <v>98</v>
      </c>
      <c r="AP89" t="s">
        <v>217</v>
      </c>
    </row>
    <row r="90" spans="1:42" x14ac:dyDescent="0.3">
      <c r="AG90" t="s">
        <v>99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17381-C16D-4844-B69E-AC21EEC6BC90}">
  <dimension ref="A1:AB16"/>
  <sheetViews>
    <sheetView zoomScale="70" zoomScaleNormal="70" workbookViewId="0">
      <selection activeCell="O10" sqref="O10"/>
    </sheetView>
  </sheetViews>
  <sheetFormatPr baseColWidth="10" defaultRowHeight="15.05" x14ac:dyDescent="0.3"/>
  <cols>
    <col min="1" max="1" width="3" style="94" bestFit="1" customWidth="1"/>
    <col min="2" max="2" width="7.5546875" bestFit="1" customWidth="1"/>
    <col min="3" max="3" width="7.5546875" customWidth="1"/>
    <col min="4" max="4" width="10.88671875" bestFit="1" customWidth="1"/>
    <col min="5" max="5" width="7.88671875" bestFit="1" customWidth="1"/>
    <col min="6" max="6" width="10.77734375" bestFit="1" customWidth="1"/>
    <col min="7" max="7" width="10.21875" bestFit="1" customWidth="1"/>
    <col min="8" max="8" width="10.77734375" bestFit="1" customWidth="1"/>
    <col min="9" max="9" width="10.21875" bestFit="1" customWidth="1"/>
    <col min="10" max="10" width="8.109375" bestFit="1" customWidth="1"/>
    <col min="11" max="11" width="9.44140625" bestFit="1" customWidth="1"/>
    <col min="12" max="12" width="9.5546875" bestFit="1" customWidth="1"/>
    <col min="13" max="13" width="10.6640625" bestFit="1" customWidth="1"/>
    <col min="14" max="14" width="10.77734375" bestFit="1" customWidth="1"/>
    <col min="15" max="15" width="9.5546875" bestFit="1" customWidth="1"/>
    <col min="16" max="16" width="9.6640625" bestFit="1" customWidth="1"/>
    <col min="17" max="17" width="11.21875" bestFit="1" customWidth="1"/>
    <col min="18" max="18" width="11.33203125" bestFit="1" customWidth="1"/>
    <col min="19" max="19" width="0.77734375" style="30" customWidth="1"/>
    <col min="20" max="20" width="4" bestFit="1" customWidth="1"/>
    <col min="21" max="21" width="6.88671875" bestFit="1" customWidth="1"/>
    <col min="22" max="22" width="9.88671875" bestFit="1" customWidth="1"/>
    <col min="23" max="23" width="7" bestFit="1" customWidth="1"/>
    <col min="24" max="24" width="4" bestFit="1" customWidth="1"/>
    <col min="25" max="25" width="6.88671875" bestFit="1" customWidth="1"/>
    <col min="26" max="26" width="9.88671875" bestFit="1" customWidth="1"/>
    <col min="27" max="27" width="7" bestFit="1" customWidth="1"/>
    <col min="28" max="28" width="28.33203125" bestFit="1" customWidth="1"/>
  </cols>
  <sheetData>
    <row r="1" spans="1:28" s="21" customFormat="1" x14ac:dyDescent="0.3">
      <c r="A1" s="93" t="s">
        <v>163</v>
      </c>
      <c r="B1" s="85" t="s">
        <v>0</v>
      </c>
      <c r="C1" s="85" t="s">
        <v>7</v>
      </c>
      <c r="D1" s="85" t="s">
        <v>150</v>
      </c>
      <c r="E1" s="85" t="s">
        <v>151</v>
      </c>
      <c r="F1" s="85" t="s">
        <v>197</v>
      </c>
      <c r="G1" s="85" t="s">
        <v>198</v>
      </c>
      <c r="H1" s="85" t="s">
        <v>199</v>
      </c>
      <c r="I1" s="85" t="s">
        <v>200</v>
      </c>
      <c r="J1" s="85" t="s">
        <v>196</v>
      </c>
      <c r="K1" s="86" t="s">
        <v>155</v>
      </c>
      <c r="L1" s="85" t="s">
        <v>152</v>
      </c>
      <c r="M1" s="87" t="s">
        <v>156</v>
      </c>
      <c r="N1" s="85" t="s">
        <v>153</v>
      </c>
      <c r="O1" s="88" t="s">
        <v>157</v>
      </c>
      <c r="P1" s="85" t="s">
        <v>154</v>
      </c>
      <c r="Q1" s="89" t="s">
        <v>159</v>
      </c>
      <c r="R1" s="85" t="s">
        <v>158</v>
      </c>
      <c r="S1" s="90"/>
      <c r="T1" s="86" t="s">
        <v>160</v>
      </c>
      <c r="U1" s="85" t="s">
        <v>12</v>
      </c>
      <c r="V1" s="91" t="s">
        <v>175</v>
      </c>
      <c r="W1" s="91" t="s">
        <v>162</v>
      </c>
      <c r="X1" s="88" t="s">
        <v>161</v>
      </c>
      <c r="Y1" s="85" t="s">
        <v>13</v>
      </c>
      <c r="Z1" s="92" t="s">
        <v>176</v>
      </c>
      <c r="AA1" s="92" t="s">
        <v>162</v>
      </c>
      <c r="AB1" s="85" t="s">
        <v>179</v>
      </c>
    </row>
    <row r="2" spans="1:28" x14ac:dyDescent="0.3">
      <c r="A2" s="94">
        <v>1</v>
      </c>
      <c r="B2" t="s">
        <v>22</v>
      </c>
      <c r="C2">
        <v>78</v>
      </c>
      <c r="D2" s="35">
        <v>440</v>
      </c>
      <c r="E2" s="2">
        <f>D2/C2</f>
        <v>5.6410256410256414</v>
      </c>
      <c r="F2" s="32">
        <v>5.6550000000000002</v>
      </c>
      <c r="G2" s="2">
        <f>(F2/C2)*1000</f>
        <v>72.500000000000014</v>
      </c>
      <c r="H2" s="32">
        <v>5.6020000000000003</v>
      </c>
      <c r="I2" s="2">
        <f t="shared" ref="I2:I7" si="0">(H2/C2)*1000</f>
        <v>71.820512820512832</v>
      </c>
      <c r="J2" s="2" t="s">
        <v>202</v>
      </c>
      <c r="K2" s="34">
        <v>290</v>
      </c>
      <c r="L2" s="2">
        <f>K2/D2*100</f>
        <v>65.909090909090907</v>
      </c>
      <c r="M2" s="23">
        <v>320</v>
      </c>
      <c r="N2" s="2">
        <f>M2/D2*100</f>
        <v>72.727272727272734</v>
      </c>
      <c r="O2" s="25">
        <v>350</v>
      </c>
      <c r="P2" s="2">
        <f>O2/D2*100</f>
        <v>79.545454545454547</v>
      </c>
      <c r="Q2" s="28">
        <v>370</v>
      </c>
      <c r="R2" s="2">
        <f>Q2/D2*100</f>
        <v>84.090909090909093</v>
      </c>
      <c r="T2" s="64">
        <v>340</v>
      </c>
      <c r="U2" s="2">
        <f>T2/D2*100</f>
        <v>77.272727272727266</v>
      </c>
      <c r="V2" s="80">
        <f>T2-K2</f>
        <v>50</v>
      </c>
      <c r="W2" s="81">
        <f>1-(K2/T2)</f>
        <v>0.1470588235294118</v>
      </c>
      <c r="X2" s="25">
        <v>400</v>
      </c>
      <c r="Y2" s="2">
        <f>X2/D2*100</f>
        <v>90.909090909090907</v>
      </c>
      <c r="Z2" s="80">
        <f>X2-O2</f>
        <v>50</v>
      </c>
      <c r="AA2" s="81">
        <f>1-(O2/X2)</f>
        <v>0.125</v>
      </c>
      <c r="AB2" t="s">
        <v>180</v>
      </c>
    </row>
    <row r="3" spans="1:28" x14ac:dyDescent="0.3">
      <c r="A3" s="94">
        <v>2</v>
      </c>
      <c r="B3" t="s">
        <v>24</v>
      </c>
      <c r="C3">
        <v>54</v>
      </c>
      <c r="D3" s="35">
        <v>330</v>
      </c>
      <c r="E3" s="2">
        <f t="shared" ref="E3:E13" si="1">D3/C3</f>
        <v>6.1111111111111107</v>
      </c>
      <c r="F3" s="32">
        <v>3.7360000000000002</v>
      </c>
      <c r="G3" s="2">
        <f t="shared" ref="G3:G13" si="2">(F3/C3)*1000</f>
        <v>69.185185185185176</v>
      </c>
      <c r="H3" s="32">
        <v>3.6040000000000001</v>
      </c>
      <c r="I3" s="2">
        <f t="shared" si="0"/>
        <v>66.740740740740733</v>
      </c>
      <c r="J3" s="2" t="s">
        <v>203</v>
      </c>
      <c r="K3" s="34">
        <v>200.25</v>
      </c>
      <c r="L3" s="2">
        <f t="shared" ref="L3:L13" si="3">K3/D3*100</f>
        <v>60.68181818181818</v>
      </c>
      <c r="M3" s="23">
        <v>225</v>
      </c>
      <c r="N3" s="2">
        <f t="shared" ref="N3:N13" si="4">M3/D3*100</f>
        <v>68.181818181818173</v>
      </c>
      <c r="O3" s="25">
        <v>255</v>
      </c>
      <c r="P3" s="2">
        <f t="shared" ref="P3:P13" si="5">O3/D3*100</f>
        <v>77.272727272727266</v>
      </c>
      <c r="Q3" s="28">
        <v>285</v>
      </c>
      <c r="R3" s="2">
        <f t="shared" ref="R3:R13" si="6">Q3/D3*100</f>
        <v>86.36363636363636</v>
      </c>
      <c r="T3" s="64">
        <v>225</v>
      </c>
      <c r="U3" s="2">
        <f t="shared" ref="U3:U13" si="7">T3/D3*100</f>
        <v>68.181818181818173</v>
      </c>
      <c r="V3" s="80">
        <f t="shared" ref="V3:V13" si="8">T3-K3</f>
        <v>24.75</v>
      </c>
      <c r="W3" s="81">
        <f t="shared" ref="W3:W13" si="9">1-(K3/T3)</f>
        <v>0.10999999999999999</v>
      </c>
      <c r="X3" s="25">
        <v>285</v>
      </c>
      <c r="Y3" s="2">
        <f t="shared" ref="Y3:Y13" si="10">X3/D3*100</f>
        <v>86.36363636363636</v>
      </c>
      <c r="Z3" s="80">
        <f t="shared" ref="Z3:Z13" si="11">X3-O3</f>
        <v>30</v>
      </c>
      <c r="AA3" s="81">
        <f t="shared" ref="AA3:AA13" si="12">1-(O3/X3)</f>
        <v>0.10526315789473684</v>
      </c>
      <c r="AB3" t="s">
        <v>181</v>
      </c>
    </row>
    <row r="4" spans="1:28" x14ac:dyDescent="0.3">
      <c r="A4" s="94">
        <v>3</v>
      </c>
      <c r="B4" t="s">
        <v>72</v>
      </c>
      <c r="C4">
        <v>48</v>
      </c>
      <c r="D4" s="35">
        <v>300</v>
      </c>
      <c r="E4" s="2">
        <f t="shared" si="1"/>
        <v>6.25</v>
      </c>
      <c r="F4" s="32">
        <v>3.6040000000000001</v>
      </c>
      <c r="G4" s="2">
        <f t="shared" si="2"/>
        <v>75.083333333333329</v>
      </c>
      <c r="H4" s="63" t="s">
        <v>201</v>
      </c>
      <c r="I4" s="2">
        <f t="shared" si="0"/>
        <v>69.229166666666657</v>
      </c>
      <c r="J4" s="2" t="s">
        <v>204</v>
      </c>
      <c r="K4" s="34">
        <v>180</v>
      </c>
      <c r="L4" s="2">
        <f t="shared" si="3"/>
        <v>60</v>
      </c>
      <c r="M4" s="23">
        <v>200</v>
      </c>
      <c r="N4" s="2">
        <f t="shared" si="4"/>
        <v>66.666666666666657</v>
      </c>
      <c r="O4" s="25">
        <v>225</v>
      </c>
      <c r="P4" s="2">
        <f t="shared" si="5"/>
        <v>75</v>
      </c>
      <c r="Q4" s="28">
        <v>240</v>
      </c>
      <c r="R4" s="2">
        <f t="shared" si="6"/>
        <v>80</v>
      </c>
      <c r="T4" s="64">
        <v>240</v>
      </c>
      <c r="U4" s="2">
        <f t="shared" si="7"/>
        <v>80</v>
      </c>
      <c r="V4" s="80">
        <f t="shared" si="8"/>
        <v>60</v>
      </c>
      <c r="W4" s="81">
        <f t="shared" si="9"/>
        <v>0.25</v>
      </c>
      <c r="X4" s="25">
        <v>255</v>
      </c>
      <c r="Y4" s="2">
        <f t="shared" si="10"/>
        <v>85</v>
      </c>
      <c r="Z4" s="80">
        <f t="shared" si="11"/>
        <v>30</v>
      </c>
      <c r="AA4" s="81">
        <f t="shared" si="12"/>
        <v>0.11764705882352944</v>
      </c>
      <c r="AB4" t="s">
        <v>183</v>
      </c>
    </row>
    <row r="5" spans="1:28" x14ac:dyDescent="0.3">
      <c r="A5" s="94">
        <v>4</v>
      </c>
      <c r="B5" t="s">
        <v>81</v>
      </c>
      <c r="C5">
        <v>73</v>
      </c>
      <c r="D5" s="35">
        <v>440</v>
      </c>
      <c r="E5" s="2">
        <f t="shared" si="1"/>
        <v>6.0273972602739727</v>
      </c>
      <c r="F5" s="63" t="s">
        <v>86</v>
      </c>
      <c r="G5" s="2">
        <f t="shared" si="2"/>
        <v>67.753424657534239</v>
      </c>
      <c r="H5" s="63" t="s">
        <v>205</v>
      </c>
      <c r="I5" s="2">
        <f t="shared" si="0"/>
        <v>59.054794520547944</v>
      </c>
      <c r="J5" s="2" t="s">
        <v>203</v>
      </c>
      <c r="K5" s="34">
        <v>280</v>
      </c>
      <c r="L5" s="2">
        <f t="shared" si="3"/>
        <v>63.636363636363633</v>
      </c>
      <c r="M5" s="23">
        <v>305</v>
      </c>
      <c r="N5" s="2">
        <f t="shared" si="4"/>
        <v>69.318181818181827</v>
      </c>
      <c r="O5" s="25">
        <v>325</v>
      </c>
      <c r="P5" s="2">
        <f t="shared" si="5"/>
        <v>73.86363636363636</v>
      </c>
      <c r="Q5" s="28">
        <v>360</v>
      </c>
      <c r="R5" s="2">
        <f t="shared" si="6"/>
        <v>81.818181818181827</v>
      </c>
      <c r="T5" s="64">
        <v>320</v>
      </c>
      <c r="U5" s="2">
        <f t="shared" si="7"/>
        <v>72.727272727272734</v>
      </c>
      <c r="V5" s="80">
        <f t="shared" si="8"/>
        <v>40</v>
      </c>
      <c r="W5" s="81">
        <f t="shared" si="9"/>
        <v>0.125</v>
      </c>
      <c r="X5" s="25">
        <v>360</v>
      </c>
      <c r="Y5" s="2">
        <f t="shared" si="10"/>
        <v>81.818181818181827</v>
      </c>
      <c r="Z5" s="80">
        <f t="shared" si="11"/>
        <v>35</v>
      </c>
      <c r="AA5" s="81">
        <f t="shared" si="12"/>
        <v>9.722222222222221E-2</v>
      </c>
      <c r="AB5" s="82" t="s">
        <v>182</v>
      </c>
    </row>
    <row r="6" spans="1:28" x14ac:dyDescent="0.3">
      <c r="A6" s="94">
        <v>5</v>
      </c>
      <c r="B6" t="s">
        <v>108</v>
      </c>
      <c r="C6">
        <v>82</v>
      </c>
      <c r="D6" s="35">
        <v>500</v>
      </c>
      <c r="E6" s="2">
        <f t="shared" si="1"/>
        <v>6.0975609756097562</v>
      </c>
      <c r="F6" s="63" t="s">
        <v>125</v>
      </c>
      <c r="G6" s="2">
        <f t="shared" si="2"/>
        <v>75.378048780487802</v>
      </c>
      <c r="H6" s="63" t="s">
        <v>206</v>
      </c>
      <c r="I6" s="2">
        <f t="shared" si="0"/>
        <v>74.475609756097555</v>
      </c>
      <c r="J6" s="2" t="s">
        <v>202</v>
      </c>
      <c r="K6" s="34">
        <v>325</v>
      </c>
      <c r="L6" s="2">
        <f t="shared" si="3"/>
        <v>65</v>
      </c>
      <c r="M6" s="23">
        <v>380</v>
      </c>
      <c r="N6" s="2">
        <f t="shared" si="4"/>
        <v>76</v>
      </c>
      <c r="O6" s="25">
        <v>410</v>
      </c>
      <c r="P6" s="2">
        <f t="shared" si="5"/>
        <v>82</v>
      </c>
      <c r="Q6" s="28">
        <v>435</v>
      </c>
      <c r="R6" s="2">
        <f t="shared" si="6"/>
        <v>87</v>
      </c>
      <c r="T6" s="64">
        <v>400</v>
      </c>
      <c r="U6" s="2">
        <f t="shared" si="7"/>
        <v>80</v>
      </c>
      <c r="V6" s="80">
        <f t="shared" si="8"/>
        <v>75</v>
      </c>
      <c r="W6" s="81">
        <f t="shared" si="9"/>
        <v>0.1875</v>
      </c>
      <c r="X6" s="25">
        <v>460</v>
      </c>
      <c r="Y6" s="2">
        <f t="shared" si="10"/>
        <v>92</v>
      </c>
      <c r="Z6" s="80">
        <f t="shared" si="11"/>
        <v>50</v>
      </c>
      <c r="AA6" s="81">
        <f t="shared" si="12"/>
        <v>0.10869565217391308</v>
      </c>
      <c r="AB6" s="82" t="s">
        <v>182</v>
      </c>
    </row>
    <row r="7" spans="1:28" x14ac:dyDescent="0.3">
      <c r="A7" s="94">
        <v>6</v>
      </c>
      <c r="B7" t="s">
        <v>166</v>
      </c>
      <c r="C7">
        <v>72</v>
      </c>
      <c r="D7" s="35">
        <v>460</v>
      </c>
      <c r="E7" s="2">
        <f t="shared" si="1"/>
        <v>6.3888888888888893</v>
      </c>
      <c r="F7" s="63" t="s">
        <v>131</v>
      </c>
      <c r="G7" s="2">
        <f t="shared" si="2"/>
        <v>72.000000000000014</v>
      </c>
      <c r="H7" s="63" t="s">
        <v>225</v>
      </c>
      <c r="I7" s="2">
        <f t="shared" si="0"/>
        <v>70.930555555555557</v>
      </c>
      <c r="J7" s="2" t="s">
        <v>226</v>
      </c>
      <c r="K7" s="34">
        <v>305</v>
      </c>
      <c r="L7" s="2">
        <f t="shared" si="3"/>
        <v>66.304347826086953</v>
      </c>
      <c r="M7" s="23">
        <v>335</v>
      </c>
      <c r="N7" s="2">
        <f t="shared" si="4"/>
        <v>72.826086956521735</v>
      </c>
      <c r="O7" s="25">
        <v>360</v>
      </c>
      <c r="P7" s="2">
        <f t="shared" si="5"/>
        <v>78.260869565217391</v>
      </c>
      <c r="Q7" s="28">
        <v>380</v>
      </c>
      <c r="R7" s="2">
        <f t="shared" si="6"/>
        <v>82.608695652173907</v>
      </c>
      <c r="T7" s="64">
        <v>360</v>
      </c>
      <c r="U7" s="2">
        <f t="shared" si="7"/>
        <v>78.260869565217391</v>
      </c>
      <c r="V7" s="80">
        <f t="shared" si="8"/>
        <v>55</v>
      </c>
      <c r="W7" s="81">
        <f t="shared" si="9"/>
        <v>0.15277777777777779</v>
      </c>
      <c r="X7" s="25">
        <v>400</v>
      </c>
      <c r="Y7" s="2">
        <f t="shared" si="10"/>
        <v>86.956521739130437</v>
      </c>
      <c r="Z7" s="80">
        <f t="shared" si="11"/>
        <v>40</v>
      </c>
      <c r="AA7" s="81">
        <f t="shared" si="12"/>
        <v>9.9999999999999978E-2</v>
      </c>
      <c r="AB7" s="82" t="s">
        <v>182</v>
      </c>
    </row>
    <row r="8" spans="1:28" x14ac:dyDescent="0.3">
      <c r="A8" s="94">
        <v>7</v>
      </c>
      <c r="B8" t="s">
        <v>129</v>
      </c>
      <c r="C8">
        <v>73</v>
      </c>
      <c r="D8" s="35">
        <v>400</v>
      </c>
      <c r="E8" s="2">
        <f t="shared" si="1"/>
        <v>5.4794520547945202</v>
      </c>
      <c r="F8" s="63" t="s">
        <v>130</v>
      </c>
      <c r="G8" s="2">
        <f t="shared" si="2"/>
        <v>64.547945205479451</v>
      </c>
      <c r="H8" s="32"/>
      <c r="I8" s="2"/>
      <c r="J8" s="2"/>
      <c r="K8" s="34">
        <v>255</v>
      </c>
      <c r="L8" s="2">
        <f t="shared" si="3"/>
        <v>63.749999999999993</v>
      </c>
      <c r="M8" s="23">
        <v>285</v>
      </c>
      <c r="N8" s="2">
        <f t="shared" si="4"/>
        <v>71.25</v>
      </c>
      <c r="O8" s="25">
        <v>305</v>
      </c>
      <c r="P8" s="2">
        <f t="shared" si="5"/>
        <v>76.25</v>
      </c>
      <c r="Q8" s="28">
        <v>223</v>
      </c>
      <c r="R8" s="2">
        <f t="shared" si="6"/>
        <v>55.75</v>
      </c>
      <c r="T8" s="64">
        <v>300</v>
      </c>
      <c r="U8" s="2">
        <f t="shared" si="7"/>
        <v>75</v>
      </c>
      <c r="V8" s="80">
        <f t="shared" si="8"/>
        <v>45</v>
      </c>
      <c r="W8" s="81">
        <f t="shared" si="9"/>
        <v>0.15000000000000002</v>
      </c>
      <c r="X8" s="25">
        <v>340</v>
      </c>
      <c r="Y8" s="2">
        <f t="shared" si="10"/>
        <v>85</v>
      </c>
      <c r="Z8" s="80">
        <f t="shared" si="11"/>
        <v>35</v>
      </c>
      <c r="AA8" s="81">
        <f t="shared" si="12"/>
        <v>0.1029411764705882</v>
      </c>
      <c r="AB8" s="82" t="s">
        <v>182</v>
      </c>
    </row>
    <row r="9" spans="1:28" x14ac:dyDescent="0.3">
      <c r="A9" s="94">
        <v>8</v>
      </c>
      <c r="B9" t="s">
        <v>136</v>
      </c>
      <c r="C9">
        <v>76</v>
      </c>
      <c r="D9" s="35">
        <v>460</v>
      </c>
      <c r="E9" s="2">
        <f t="shared" si="1"/>
        <v>6.0526315789473681</v>
      </c>
      <c r="F9" s="63" t="s">
        <v>141</v>
      </c>
      <c r="G9" s="2">
        <f t="shared" si="2"/>
        <v>70.078947368421041</v>
      </c>
      <c r="H9" s="63" t="s">
        <v>227</v>
      </c>
      <c r="I9" s="2">
        <f t="shared" ref="I9:I13" si="13">(H9/C9)*1000</f>
        <v>66.328947368421055</v>
      </c>
      <c r="J9" s="2" t="s">
        <v>202</v>
      </c>
      <c r="K9" s="34">
        <v>270</v>
      </c>
      <c r="L9" s="2">
        <f t="shared" si="3"/>
        <v>58.695652173913047</v>
      </c>
      <c r="M9" s="23">
        <v>305</v>
      </c>
      <c r="N9" s="2">
        <f t="shared" si="4"/>
        <v>66.304347826086953</v>
      </c>
      <c r="O9" s="25">
        <v>330</v>
      </c>
      <c r="P9" s="2">
        <f t="shared" si="5"/>
        <v>71.739130434782609</v>
      </c>
      <c r="Q9" s="28">
        <v>360</v>
      </c>
      <c r="R9" s="2">
        <f t="shared" si="6"/>
        <v>78.260869565217391</v>
      </c>
      <c r="T9" s="64">
        <v>320</v>
      </c>
      <c r="U9" s="2">
        <f t="shared" si="7"/>
        <v>69.565217391304344</v>
      </c>
      <c r="V9" s="80">
        <f t="shared" si="8"/>
        <v>50</v>
      </c>
      <c r="W9" s="81">
        <f t="shared" si="9"/>
        <v>0.15625</v>
      </c>
      <c r="X9" s="25">
        <v>380</v>
      </c>
      <c r="Y9" s="2">
        <f t="shared" si="10"/>
        <v>82.608695652173907</v>
      </c>
      <c r="Z9" s="80">
        <f t="shared" si="11"/>
        <v>50</v>
      </c>
      <c r="AA9" s="81">
        <f t="shared" si="12"/>
        <v>0.13157894736842102</v>
      </c>
      <c r="AB9" s="82" t="s">
        <v>182</v>
      </c>
    </row>
    <row r="10" spans="1:28" x14ac:dyDescent="0.3">
      <c r="A10" s="94">
        <v>9</v>
      </c>
      <c r="B10" t="s">
        <v>165</v>
      </c>
      <c r="C10">
        <v>65</v>
      </c>
      <c r="D10" s="35">
        <v>360</v>
      </c>
      <c r="E10" s="2">
        <f t="shared" si="1"/>
        <v>5.5384615384615383</v>
      </c>
      <c r="F10" s="63" t="s">
        <v>171</v>
      </c>
      <c r="G10" s="2">
        <f t="shared" si="2"/>
        <v>72.2</v>
      </c>
      <c r="H10" s="32">
        <v>4.1379999999999999</v>
      </c>
      <c r="I10" s="2">
        <f t="shared" si="13"/>
        <v>63.661538461538463</v>
      </c>
      <c r="J10" s="2" t="s">
        <v>226</v>
      </c>
      <c r="K10" s="34">
        <v>225</v>
      </c>
      <c r="L10" s="2">
        <f t="shared" si="3"/>
        <v>62.5</v>
      </c>
      <c r="M10" s="23">
        <v>245</v>
      </c>
      <c r="N10" s="2">
        <f t="shared" si="4"/>
        <v>68.055555555555557</v>
      </c>
      <c r="O10" s="25">
        <v>275</v>
      </c>
      <c r="P10" s="2">
        <f t="shared" si="5"/>
        <v>76.388888888888886</v>
      </c>
      <c r="Q10" s="28">
        <v>285</v>
      </c>
      <c r="R10" s="2">
        <f t="shared" si="6"/>
        <v>79.166666666666657</v>
      </c>
      <c r="T10" s="64">
        <v>260</v>
      </c>
      <c r="U10" s="2">
        <f t="shared" si="7"/>
        <v>72.222222222222214</v>
      </c>
      <c r="V10" s="80">
        <f t="shared" si="8"/>
        <v>35</v>
      </c>
      <c r="W10" s="81">
        <f t="shared" si="9"/>
        <v>0.13461538461538458</v>
      </c>
      <c r="X10" s="25">
        <v>300</v>
      </c>
      <c r="Y10" s="2">
        <f t="shared" si="10"/>
        <v>83.333333333333343</v>
      </c>
      <c r="Z10" s="80">
        <f t="shared" si="11"/>
        <v>25</v>
      </c>
      <c r="AA10" s="81">
        <f t="shared" si="12"/>
        <v>8.333333333333337E-2</v>
      </c>
      <c r="AB10" s="82" t="s">
        <v>232</v>
      </c>
    </row>
    <row r="11" spans="1:28" x14ac:dyDescent="0.3">
      <c r="A11" s="94">
        <v>10</v>
      </c>
      <c r="B11" t="s">
        <v>173</v>
      </c>
      <c r="C11">
        <v>80</v>
      </c>
      <c r="D11" s="35">
        <v>440</v>
      </c>
      <c r="E11" s="2">
        <f t="shared" si="1"/>
        <v>5.5</v>
      </c>
      <c r="F11" s="63" t="s">
        <v>186</v>
      </c>
      <c r="G11" s="2">
        <f t="shared" si="2"/>
        <v>69.4375</v>
      </c>
      <c r="H11" s="32">
        <v>4.7839999999999998</v>
      </c>
      <c r="I11" s="2">
        <f t="shared" si="13"/>
        <v>59.8</v>
      </c>
      <c r="J11" s="2" t="s">
        <v>202</v>
      </c>
      <c r="K11" s="34">
        <v>250</v>
      </c>
      <c r="L11" s="2">
        <f t="shared" si="3"/>
        <v>56.81818181818182</v>
      </c>
      <c r="M11" s="23">
        <v>280</v>
      </c>
      <c r="N11" s="2">
        <f t="shared" si="4"/>
        <v>63.636363636363633</v>
      </c>
      <c r="O11" s="25">
        <v>315</v>
      </c>
      <c r="P11" s="2">
        <f t="shared" si="5"/>
        <v>71.590909090909093</v>
      </c>
      <c r="Q11" s="28">
        <v>340</v>
      </c>
      <c r="R11" s="2">
        <f t="shared" si="6"/>
        <v>77.272727272727266</v>
      </c>
      <c r="T11" s="64">
        <v>300</v>
      </c>
      <c r="U11" s="2">
        <f t="shared" si="7"/>
        <v>68.181818181818173</v>
      </c>
      <c r="V11" s="80">
        <f t="shared" si="8"/>
        <v>50</v>
      </c>
      <c r="W11" s="81">
        <f t="shared" si="9"/>
        <v>0.16666666666666663</v>
      </c>
      <c r="X11" s="25">
        <v>360</v>
      </c>
      <c r="Y11" s="2">
        <f t="shared" si="10"/>
        <v>81.818181818181827</v>
      </c>
      <c r="Z11" s="80">
        <f t="shared" si="11"/>
        <v>45</v>
      </c>
      <c r="AA11" s="81">
        <f t="shared" si="12"/>
        <v>0.125</v>
      </c>
      <c r="AB11" s="82" t="s">
        <v>182</v>
      </c>
    </row>
    <row r="12" spans="1:28" x14ac:dyDescent="0.3">
      <c r="A12" s="94">
        <v>11</v>
      </c>
      <c r="B12" t="s">
        <v>190</v>
      </c>
      <c r="C12">
        <v>48</v>
      </c>
      <c r="D12" s="35">
        <v>330</v>
      </c>
      <c r="E12" s="2">
        <f t="shared" si="1"/>
        <v>6.875</v>
      </c>
      <c r="F12" s="112">
        <v>3.9</v>
      </c>
      <c r="G12" s="2">
        <f t="shared" si="2"/>
        <v>81.25</v>
      </c>
      <c r="H12" s="112">
        <v>3.9</v>
      </c>
      <c r="I12" s="2">
        <f t="shared" si="13"/>
        <v>81.25</v>
      </c>
      <c r="J12" s="113" t="s">
        <v>229</v>
      </c>
      <c r="K12" s="34">
        <v>200</v>
      </c>
      <c r="L12" s="2">
        <f t="shared" si="3"/>
        <v>60.606060606060609</v>
      </c>
      <c r="M12" s="23">
        <v>230</v>
      </c>
      <c r="N12" s="2">
        <f t="shared" si="4"/>
        <v>69.696969696969703</v>
      </c>
      <c r="O12" s="25">
        <v>260</v>
      </c>
      <c r="P12" s="2">
        <f t="shared" si="5"/>
        <v>78.787878787878782</v>
      </c>
      <c r="Q12" s="28">
        <v>280</v>
      </c>
      <c r="R12" s="2">
        <f t="shared" si="6"/>
        <v>84.848484848484844</v>
      </c>
      <c r="T12" s="64">
        <v>225</v>
      </c>
      <c r="U12" s="2">
        <f t="shared" si="7"/>
        <v>68.181818181818173</v>
      </c>
      <c r="V12" s="80">
        <f t="shared" si="8"/>
        <v>25</v>
      </c>
      <c r="W12" s="81">
        <f t="shared" si="9"/>
        <v>0.11111111111111116</v>
      </c>
      <c r="X12" s="25">
        <v>285</v>
      </c>
      <c r="Y12" s="2">
        <f t="shared" si="10"/>
        <v>86.36363636363636</v>
      </c>
      <c r="Z12" s="80">
        <f t="shared" si="11"/>
        <v>25</v>
      </c>
      <c r="AA12" s="81">
        <f t="shared" si="12"/>
        <v>8.7719298245614086E-2</v>
      </c>
      <c r="AB12" s="82" t="s">
        <v>181</v>
      </c>
    </row>
    <row r="13" spans="1:28" x14ac:dyDescent="0.3">
      <c r="A13" s="94">
        <v>12</v>
      </c>
      <c r="B13" t="s">
        <v>208</v>
      </c>
      <c r="C13">
        <v>60</v>
      </c>
      <c r="D13" s="35">
        <v>330</v>
      </c>
      <c r="E13" s="2">
        <f t="shared" si="1"/>
        <v>5.5</v>
      </c>
      <c r="F13" s="112">
        <v>4.0759999999999996</v>
      </c>
      <c r="G13" s="2">
        <f t="shared" si="2"/>
        <v>67.933333333333337</v>
      </c>
      <c r="H13" s="116" t="s">
        <v>228</v>
      </c>
      <c r="I13" s="2">
        <f t="shared" si="13"/>
        <v>54.566666666666663</v>
      </c>
      <c r="J13" s="2" t="s">
        <v>203</v>
      </c>
      <c r="K13" s="34">
        <v>185</v>
      </c>
      <c r="L13" s="2">
        <f t="shared" si="3"/>
        <v>56.060606060606055</v>
      </c>
      <c r="M13" s="23">
        <v>210</v>
      </c>
      <c r="N13" s="2">
        <f t="shared" si="4"/>
        <v>63.636363636363633</v>
      </c>
      <c r="O13" s="25">
        <v>235</v>
      </c>
      <c r="P13" s="2">
        <f t="shared" si="5"/>
        <v>71.212121212121218</v>
      </c>
      <c r="Q13" s="28">
        <v>255</v>
      </c>
      <c r="R13" s="2">
        <f t="shared" si="6"/>
        <v>77.272727272727266</v>
      </c>
      <c r="T13" s="64">
        <v>210</v>
      </c>
      <c r="U13" s="2">
        <f t="shared" si="7"/>
        <v>63.636363636363633</v>
      </c>
      <c r="V13" s="80">
        <f t="shared" si="8"/>
        <v>25</v>
      </c>
      <c r="W13" s="81">
        <f t="shared" si="9"/>
        <v>0.11904761904761907</v>
      </c>
      <c r="X13" s="25">
        <v>255</v>
      </c>
      <c r="Y13" s="2">
        <f t="shared" si="10"/>
        <v>77.272727272727266</v>
      </c>
      <c r="Z13" s="80">
        <f t="shared" si="11"/>
        <v>20</v>
      </c>
      <c r="AA13" s="81">
        <f t="shared" si="12"/>
        <v>7.8431372549019662E-2</v>
      </c>
      <c r="AB13" s="82" t="s">
        <v>181</v>
      </c>
    </row>
    <row r="14" spans="1:28" x14ac:dyDescent="0.3">
      <c r="D14" s="35"/>
      <c r="E14" s="2"/>
      <c r="F14" s="97"/>
      <c r="G14" s="98"/>
      <c r="H14" s="97"/>
      <c r="I14" s="98"/>
      <c r="J14" s="98"/>
      <c r="K14" s="34"/>
      <c r="L14" s="2"/>
      <c r="M14" s="23"/>
      <c r="N14" s="2"/>
      <c r="O14" s="25"/>
      <c r="P14" s="2"/>
      <c r="Q14" s="28"/>
      <c r="R14" s="2"/>
      <c r="T14" s="64"/>
      <c r="U14" s="2"/>
      <c r="V14" s="80"/>
      <c r="W14" s="81"/>
      <c r="X14" s="25"/>
      <c r="Y14" s="2"/>
      <c r="Z14" s="80"/>
      <c r="AA14" s="81"/>
      <c r="AB14" s="82"/>
    </row>
    <row r="15" spans="1:28" s="30" customFormat="1" ht="5.25" customHeight="1" x14ac:dyDescent="0.3">
      <c r="A15" s="95"/>
      <c r="D15" s="84"/>
      <c r="E15" s="84"/>
      <c r="F15" s="84"/>
      <c r="G15" s="84"/>
      <c r="H15" s="84"/>
      <c r="I15" s="84"/>
      <c r="J15" s="84"/>
    </row>
    <row r="16" spans="1:28" x14ac:dyDescent="0.3">
      <c r="C16" s="2">
        <f>AVERAGE(C2:C13)</f>
        <v>67.416666666666671</v>
      </c>
      <c r="D16" s="35">
        <f>AVERAGE(D2:D13)</f>
        <v>399.16666666666669</v>
      </c>
      <c r="E16" s="2">
        <f>AVERAGE(E2:E10)</f>
        <v>5.954058783234756</v>
      </c>
      <c r="F16" s="32">
        <f>AVERAGE(F2:F9)</f>
        <v>4.331666666666667</v>
      </c>
      <c r="G16" s="2">
        <f>AVERAGE(G2:G9)</f>
        <v>70.815860566305133</v>
      </c>
      <c r="H16" s="32">
        <f>AVERAGE(H2:H9)</f>
        <v>4.6029999999999998</v>
      </c>
      <c r="I16" s="2">
        <f>AVERAGE(I2:I9)</f>
        <v>68.368618204077478</v>
      </c>
      <c r="J16" s="2"/>
      <c r="K16" s="34">
        <f>AVERAGE(K2:K13)</f>
        <v>247.10416666666666</v>
      </c>
      <c r="L16" s="2">
        <f t="shared" ref="L16" si="14">AVERAGE(L2:L12)</f>
        <v>62.172865013774114</v>
      </c>
      <c r="M16" s="40">
        <f>AVERAGE(M2:M13)</f>
        <v>276.66666666666669</v>
      </c>
      <c r="N16" s="2">
        <f>AVERAGE(N2:N13)</f>
        <v>69.024968891816727</v>
      </c>
      <c r="O16" s="41">
        <f>AVERAGE(O2:O13)</f>
        <v>303.75</v>
      </c>
      <c r="P16" s="2">
        <f>AVERAGE(P2:P13)</f>
        <v>75.992634680134685</v>
      </c>
      <c r="Q16" s="42">
        <f>AVERAGE(Q2:Q15)</f>
        <v>317.75</v>
      </c>
      <c r="R16" s="2">
        <f>AVERAGE(R2:R15)</f>
        <v>79.537741545893709</v>
      </c>
      <c r="T16" s="34">
        <f>AVERAGE(T2:T13)</f>
        <v>291.66666666666669</v>
      </c>
      <c r="U16" s="2">
        <f>AVERAGE(U2:U13)</f>
        <v>72.769177280046833</v>
      </c>
      <c r="V16" s="2">
        <f>AVERAGE(V2:V9)</f>
        <v>49.96875</v>
      </c>
      <c r="W16" s="83">
        <f>AVERAGE(W2:W9)</f>
        <v>0.1598233251633987</v>
      </c>
      <c r="X16" s="41">
        <f>AVERAGE(X2:X15)</f>
        <v>340</v>
      </c>
      <c r="Y16" s="2">
        <f>AVERAGE(Y2:Y15)</f>
        <v>84.953667105841021</v>
      </c>
      <c r="Z16" s="2">
        <f>AVERAGE(Z2:Z15)</f>
        <v>36.25</v>
      </c>
      <c r="AA16" s="83">
        <f>AVERAGE(AA2:AA15)</f>
        <v>0.10523601825678149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9427F-BB9D-42D2-BCE0-E8E8CBB28CA1}">
  <dimension ref="A1:P26"/>
  <sheetViews>
    <sheetView topLeftCell="C1" workbookViewId="0">
      <selection activeCell="P25" sqref="P25"/>
    </sheetView>
  </sheetViews>
  <sheetFormatPr baseColWidth="10" defaultRowHeight="15.05" x14ac:dyDescent="0.3"/>
  <cols>
    <col min="1" max="1" width="4" bestFit="1" customWidth="1"/>
    <col min="2" max="2" width="5.44140625" bestFit="1" customWidth="1"/>
    <col min="3" max="3" width="9.44140625" bestFit="1" customWidth="1"/>
    <col min="4" max="4" width="4.88671875" bestFit="1" customWidth="1"/>
    <col min="5" max="5" width="7.44140625" bestFit="1" customWidth="1"/>
    <col min="6" max="6" width="5.44140625" bestFit="1" customWidth="1"/>
    <col min="7" max="7" width="7" bestFit="1" customWidth="1"/>
  </cols>
  <sheetData>
    <row r="1" spans="1:7" x14ac:dyDescent="0.3">
      <c r="A1" s="109">
        <v>540</v>
      </c>
      <c r="B1" s="110">
        <v>6.2</v>
      </c>
      <c r="C1" s="103" t="s">
        <v>30</v>
      </c>
      <c r="D1" s="1" t="s">
        <v>192</v>
      </c>
      <c r="E1" s="1" t="s">
        <v>195</v>
      </c>
      <c r="F1" s="1" t="s">
        <v>193</v>
      </c>
      <c r="G1" s="1" t="s">
        <v>194</v>
      </c>
    </row>
    <row r="2" spans="1:7" x14ac:dyDescent="0.3">
      <c r="A2" s="109">
        <v>400</v>
      </c>
      <c r="B2" s="110">
        <v>4.47</v>
      </c>
      <c r="C2" s="33" t="s">
        <v>3</v>
      </c>
      <c r="D2">
        <f t="shared" ref="D2:D25" si="0">A1*1</f>
        <v>540</v>
      </c>
      <c r="E2" s="2">
        <v>6</v>
      </c>
      <c r="F2" s="32">
        <f t="shared" ref="F2:F25" si="1">B1*1</f>
        <v>6.2</v>
      </c>
      <c r="G2" s="2">
        <v>68.888888888888886</v>
      </c>
    </row>
    <row r="3" spans="1:7" x14ac:dyDescent="0.3">
      <c r="A3" s="109">
        <v>440</v>
      </c>
      <c r="B3" s="110">
        <v>5.6550000000000002</v>
      </c>
      <c r="C3" s="33" t="s">
        <v>4</v>
      </c>
      <c r="D3">
        <f t="shared" si="0"/>
        <v>400</v>
      </c>
      <c r="E3" s="2">
        <v>5.7971014492753623</v>
      </c>
      <c r="F3" s="32">
        <f t="shared" si="1"/>
        <v>4.47</v>
      </c>
      <c r="G3" s="2">
        <v>64.782608695652172</v>
      </c>
    </row>
    <row r="4" spans="1:7" x14ac:dyDescent="0.3">
      <c r="A4" s="109">
        <v>330</v>
      </c>
      <c r="B4" s="110">
        <v>3.7360000000000002</v>
      </c>
      <c r="C4" s="33" t="s">
        <v>22</v>
      </c>
      <c r="D4">
        <f t="shared" si="0"/>
        <v>440</v>
      </c>
      <c r="E4" s="2">
        <v>5.6410256410256414</v>
      </c>
      <c r="F4" s="32">
        <f t="shared" si="1"/>
        <v>5.6550000000000002</v>
      </c>
      <c r="G4" s="2">
        <v>72.500000000000014</v>
      </c>
    </row>
    <row r="5" spans="1:7" x14ac:dyDescent="0.3">
      <c r="A5" s="109">
        <v>300</v>
      </c>
      <c r="B5" s="110">
        <v>3.6040000000000001</v>
      </c>
      <c r="C5" s="33" t="s">
        <v>24</v>
      </c>
      <c r="D5">
        <f t="shared" si="0"/>
        <v>330</v>
      </c>
      <c r="E5" s="2">
        <v>6.1111111111111107</v>
      </c>
      <c r="F5" s="32">
        <f t="shared" si="1"/>
        <v>3.7360000000000002</v>
      </c>
      <c r="G5" s="2">
        <v>69.185185185185176</v>
      </c>
    </row>
    <row r="6" spans="1:7" x14ac:dyDescent="0.3">
      <c r="A6" s="109">
        <v>255</v>
      </c>
      <c r="B6" s="111" t="s">
        <v>78</v>
      </c>
      <c r="C6" s="33" t="s">
        <v>72</v>
      </c>
      <c r="D6">
        <f t="shared" si="0"/>
        <v>300</v>
      </c>
      <c r="E6" s="2">
        <v>6.25</v>
      </c>
      <c r="F6" s="32">
        <f t="shared" si="1"/>
        <v>3.6040000000000001</v>
      </c>
      <c r="G6" s="2">
        <v>75.083333333333329</v>
      </c>
    </row>
    <row r="7" spans="1:7" x14ac:dyDescent="0.3">
      <c r="A7" s="109">
        <v>380</v>
      </c>
      <c r="B7" s="111" t="s">
        <v>84</v>
      </c>
      <c r="C7" s="33" t="s">
        <v>76</v>
      </c>
      <c r="D7">
        <f t="shared" si="0"/>
        <v>255</v>
      </c>
      <c r="E7" s="2">
        <v>4.9038461538461542</v>
      </c>
      <c r="F7" s="32">
        <f t="shared" si="1"/>
        <v>3.169</v>
      </c>
      <c r="G7" s="2">
        <v>60.942307692307693</v>
      </c>
    </row>
    <row r="8" spans="1:7" x14ac:dyDescent="0.3">
      <c r="A8" s="109">
        <v>440</v>
      </c>
      <c r="B8" s="111" t="s">
        <v>86</v>
      </c>
      <c r="C8" s="33" t="s">
        <v>79</v>
      </c>
      <c r="D8">
        <f t="shared" si="0"/>
        <v>380</v>
      </c>
      <c r="E8" s="2">
        <v>5.1351351351351351</v>
      </c>
      <c r="F8" s="32">
        <f t="shared" si="1"/>
        <v>4.0599999999999996</v>
      </c>
      <c r="G8" s="2">
        <v>54.864864864864856</v>
      </c>
    </row>
    <row r="9" spans="1:7" x14ac:dyDescent="0.3">
      <c r="A9" s="109">
        <v>300</v>
      </c>
      <c r="B9" s="111" t="s">
        <v>89</v>
      </c>
      <c r="C9" s="33" t="s">
        <v>81</v>
      </c>
      <c r="D9">
        <f t="shared" si="0"/>
        <v>440</v>
      </c>
      <c r="E9" s="2">
        <v>6.0273972602739727</v>
      </c>
      <c r="F9" s="32">
        <f t="shared" si="1"/>
        <v>4.9459999999999997</v>
      </c>
      <c r="G9" s="2">
        <v>67.753424657534239</v>
      </c>
    </row>
    <row r="10" spans="1:7" x14ac:dyDescent="0.3">
      <c r="A10" s="109">
        <v>380</v>
      </c>
      <c r="B10" s="111" t="s">
        <v>123</v>
      </c>
      <c r="C10" s="33" t="s">
        <v>88</v>
      </c>
      <c r="D10">
        <f t="shared" si="0"/>
        <v>300</v>
      </c>
      <c r="E10" s="2">
        <v>4.166666666666667</v>
      </c>
      <c r="F10" s="32">
        <f t="shared" si="1"/>
        <v>3.0179999999999998</v>
      </c>
      <c r="G10" s="2">
        <v>41.916666666666664</v>
      </c>
    </row>
    <row r="11" spans="1:7" x14ac:dyDescent="0.3">
      <c r="A11" s="109">
        <v>440</v>
      </c>
      <c r="B11" s="111" t="s">
        <v>124</v>
      </c>
      <c r="C11" s="33" t="s">
        <v>102</v>
      </c>
      <c r="D11">
        <f t="shared" si="0"/>
        <v>380</v>
      </c>
      <c r="E11" s="2">
        <v>5.1351351351351351</v>
      </c>
      <c r="F11" s="32">
        <f t="shared" si="1"/>
        <v>4.5549999999999997</v>
      </c>
      <c r="G11" s="2">
        <v>61.554054054054049</v>
      </c>
    </row>
    <row r="12" spans="1:7" x14ac:dyDescent="0.3">
      <c r="A12" s="109">
        <v>500</v>
      </c>
      <c r="B12" s="111" t="s">
        <v>125</v>
      </c>
      <c r="C12" s="33" t="s">
        <v>103</v>
      </c>
      <c r="D12">
        <f t="shared" si="0"/>
        <v>440</v>
      </c>
      <c r="E12" s="2">
        <v>5.0574712643678161</v>
      </c>
      <c r="F12" s="32">
        <f t="shared" si="1"/>
        <v>5.5060000000000002</v>
      </c>
      <c r="G12" s="2">
        <v>63.287356321839084</v>
      </c>
    </row>
    <row r="13" spans="1:7" x14ac:dyDescent="0.3">
      <c r="A13" s="109">
        <v>380</v>
      </c>
      <c r="B13" s="111" t="s">
        <v>132</v>
      </c>
      <c r="C13" s="33" t="s">
        <v>108</v>
      </c>
      <c r="D13">
        <f t="shared" si="0"/>
        <v>500</v>
      </c>
      <c r="E13" s="2">
        <v>6.0975609756097562</v>
      </c>
      <c r="F13" s="32">
        <f t="shared" si="1"/>
        <v>6.181</v>
      </c>
      <c r="G13" s="2">
        <v>75.378048780487802</v>
      </c>
    </row>
    <row r="14" spans="1:7" x14ac:dyDescent="0.3">
      <c r="A14" s="109">
        <v>285</v>
      </c>
      <c r="B14" s="111" t="s">
        <v>126</v>
      </c>
      <c r="C14" s="33" t="s">
        <v>111</v>
      </c>
      <c r="D14">
        <f t="shared" si="0"/>
        <v>380</v>
      </c>
      <c r="E14" s="2">
        <v>4.5238095238095237</v>
      </c>
      <c r="F14" s="32">
        <f t="shared" si="1"/>
        <v>4.3289999999999997</v>
      </c>
      <c r="G14" s="2">
        <v>51.535714285714285</v>
      </c>
    </row>
    <row r="15" spans="1:7" x14ac:dyDescent="0.3">
      <c r="A15" s="109">
        <v>460</v>
      </c>
      <c r="B15" s="111" t="s">
        <v>131</v>
      </c>
      <c r="C15" s="33" t="s">
        <v>113</v>
      </c>
      <c r="D15">
        <f t="shared" si="0"/>
        <v>285</v>
      </c>
      <c r="E15" s="2">
        <v>4.8305084745762707</v>
      </c>
      <c r="F15" s="32">
        <f t="shared" si="1"/>
        <v>3.1619999999999999</v>
      </c>
      <c r="G15" s="2">
        <v>53.593220338983045</v>
      </c>
    </row>
    <row r="16" spans="1:7" x14ac:dyDescent="0.3">
      <c r="A16" s="109">
        <v>400</v>
      </c>
      <c r="B16" s="111" t="s">
        <v>130</v>
      </c>
      <c r="C16" s="33" t="s">
        <v>120</v>
      </c>
      <c r="D16">
        <f t="shared" si="0"/>
        <v>460</v>
      </c>
      <c r="E16" s="2">
        <v>6.3888888888888893</v>
      </c>
      <c r="F16" s="32">
        <f t="shared" si="1"/>
        <v>5.1840000000000002</v>
      </c>
      <c r="G16" s="2">
        <v>72.000000000000014</v>
      </c>
    </row>
    <row r="17" spans="1:16" x14ac:dyDescent="0.3">
      <c r="A17" s="109">
        <v>460</v>
      </c>
      <c r="B17" s="111" t="s">
        <v>141</v>
      </c>
      <c r="C17" s="33" t="s">
        <v>129</v>
      </c>
      <c r="D17">
        <f t="shared" si="0"/>
        <v>400</v>
      </c>
      <c r="E17" s="2">
        <v>5.4794520547945202</v>
      </c>
      <c r="F17" s="32">
        <f t="shared" si="1"/>
        <v>4.7119999999999997</v>
      </c>
      <c r="G17" s="2">
        <v>64.547945205479451</v>
      </c>
    </row>
    <row r="18" spans="1:16" x14ac:dyDescent="0.3">
      <c r="A18" s="109">
        <v>420</v>
      </c>
      <c r="B18" s="111" t="s">
        <v>149</v>
      </c>
      <c r="C18" s="33" t="s">
        <v>136</v>
      </c>
      <c r="D18">
        <f t="shared" si="0"/>
        <v>460</v>
      </c>
      <c r="E18" s="2">
        <v>6.0526315789473681</v>
      </c>
      <c r="F18" s="32">
        <f t="shared" si="1"/>
        <v>5.3259999999999996</v>
      </c>
      <c r="G18" s="2">
        <v>70.078947368421041</v>
      </c>
    </row>
    <row r="19" spans="1:16" x14ac:dyDescent="0.3">
      <c r="A19" s="109">
        <v>420</v>
      </c>
      <c r="B19" s="110">
        <v>4.8402222222222218</v>
      </c>
      <c r="C19" s="33" t="s">
        <v>139</v>
      </c>
      <c r="D19">
        <f t="shared" si="0"/>
        <v>420</v>
      </c>
      <c r="E19" s="2">
        <v>5.384615384615385</v>
      </c>
      <c r="F19" s="32">
        <f t="shared" si="1"/>
        <v>4.6390000000000002</v>
      </c>
      <c r="G19" s="2">
        <v>59.474358974358978</v>
      </c>
    </row>
    <row r="20" spans="1:16" x14ac:dyDescent="0.3">
      <c r="A20" s="109">
        <v>380</v>
      </c>
      <c r="B20" s="110">
        <v>4.5549999999999997</v>
      </c>
      <c r="C20" s="104" t="s">
        <v>138</v>
      </c>
      <c r="D20">
        <f t="shared" si="0"/>
        <v>420</v>
      </c>
      <c r="E20" s="2">
        <v>5</v>
      </c>
      <c r="F20" s="32">
        <f t="shared" si="1"/>
        <v>4.8402222222222218</v>
      </c>
      <c r="G20" s="2">
        <v>57.621693121693113</v>
      </c>
    </row>
    <row r="21" spans="1:16" x14ac:dyDescent="0.3">
      <c r="A21" s="109">
        <v>360</v>
      </c>
      <c r="B21" s="111" t="s">
        <v>171</v>
      </c>
      <c r="C21" s="104" t="s">
        <v>147</v>
      </c>
      <c r="D21">
        <f t="shared" si="0"/>
        <v>380</v>
      </c>
      <c r="E21" s="2">
        <v>5.5882352941176467</v>
      </c>
      <c r="F21" s="32">
        <f t="shared" si="1"/>
        <v>4.5549999999999997</v>
      </c>
      <c r="G21" s="2"/>
    </row>
    <row r="22" spans="1:16" x14ac:dyDescent="0.3">
      <c r="A22" s="109">
        <v>440</v>
      </c>
      <c r="B22" s="111" t="s">
        <v>186</v>
      </c>
      <c r="C22" s="104" t="s">
        <v>165</v>
      </c>
      <c r="D22">
        <f t="shared" si="0"/>
        <v>360</v>
      </c>
      <c r="E22" s="2">
        <v>5.5384615384615383</v>
      </c>
      <c r="F22" s="32">
        <f t="shared" si="1"/>
        <v>4.6929999999999996</v>
      </c>
      <c r="G22" s="2">
        <v>72.2</v>
      </c>
    </row>
    <row r="23" spans="1:16" x14ac:dyDescent="0.3">
      <c r="A23" s="109">
        <v>480</v>
      </c>
      <c r="B23" s="111" t="s">
        <v>184</v>
      </c>
      <c r="C23" s="104" t="s">
        <v>173</v>
      </c>
      <c r="D23">
        <f t="shared" si="0"/>
        <v>440</v>
      </c>
      <c r="E23" s="2">
        <v>5.5</v>
      </c>
      <c r="F23" s="32">
        <f t="shared" si="1"/>
        <v>5.5549999999999997</v>
      </c>
      <c r="G23" s="2">
        <v>69.4375</v>
      </c>
    </row>
    <row r="24" spans="1:16" x14ac:dyDescent="0.3">
      <c r="A24" s="109">
        <v>330</v>
      </c>
      <c r="B24" s="110">
        <v>3.9</v>
      </c>
      <c r="C24" s="104" t="s">
        <v>120</v>
      </c>
      <c r="D24">
        <f t="shared" si="0"/>
        <v>480</v>
      </c>
      <c r="E24" s="2">
        <v>4.8484848484848486</v>
      </c>
      <c r="F24" s="32">
        <f t="shared" si="1"/>
        <v>5.7140000000000004</v>
      </c>
      <c r="G24" s="2">
        <v>57.717171717171723</v>
      </c>
    </row>
    <row r="25" spans="1:16" x14ac:dyDescent="0.3">
      <c r="A25" s="35" t="s">
        <v>167</v>
      </c>
      <c r="B25" s="32" t="s">
        <v>40</v>
      </c>
      <c r="C25" s="105" t="s">
        <v>190</v>
      </c>
      <c r="D25" s="106">
        <f t="shared" si="0"/>
        <v>330</v>
      </c>
      <c r="E25" s="107">
        <v>6.9182389937106912</v>
      </c>
      <c r="F25" s="108">
        <f t="shared" si="1"/>
        <v>3.9</v>
      </c>
      <c r="G25" s="107">
        <v>81.76100628930817</v>
      </c>
    </row>
    <row r="26" spans="1:16" x14ac:dyDescent="0.3">
      <c r="A26" s="35"/>
      <c r="B26" s="32"/>
      <c r="C26" s="102" t="s">
        <v>190</v>
      </c>
      <c r="D26" s="101">
        <v>330</v>
      </c>
      <c r="E26" s="98">
        <v>6.9182389937106912</v>
      </c>
      <c r="F26" s="97">
        <v>4.0999999999999996</v>
      </c>
      <c r="G26" s="98">
        <f>(4.1/48)*1000</f>
        <v>85.416666666666657</v>
      </c>
      <c r="P26" t="s">
        <v>40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CD7C-7FF8-448F-8AA6-2D42E8CBCF3D}">
  <dimension ref="A1:O60"/>
  <sheetViews>
    <sheetView workbookViewId="0">
      <selection activeCell="D19" sqref="D19"/>
    </sheetView>
  </sheetViews>
  <sheetFormatPr baseColWidth="10" defaultRowHeight="15.05" x14ac:dyDescent="0.3"/>
  <cols>
    <col min="1" max="1" width="5.77734375" bestFit="1" customWidth="1"/>
    <col min="2" max="2" width="23.33203125" bestFit="1" customWidth="1"/>
    <col min="3" max="3" width="10.44140625" style="31" bestFit="1" customWidth="1"/>
    <col min="4" max="4" width="8.88671875" style="31" bestFit="1" customWidth="1"/>
    <col min="5" max="8" width="11.5546875" style="31"/>
    <col min="10" max="10" width="2.21875" style="30" customWidth="1"/>
    <col min="11" max="11" width="6.21875" bestFit="1" customWidth="1"/>
    <col min="12" max="12" width="21" bestFit="1" customWidth="1"/>
    <col min="13" max="13" width="10.44140625" style="31" bestFit="1" customWidth="1"/>
    <col min="14" max="14" width="8.88671875" style="31" bestFit="1" customWidth="1"/>
    <col min="15" max="15" width="11.5546875" style="31"/>
  </cols>
  <sheetData>
    <row r="1" spans="1:15" x14ac:dyDescent="0.3">
      <c r="A1" s="29" t="s">
        <v>49</v>
      </c>
      <c r="B1" s="29" t="s">
        <v>48</v>
      </c>
      <c r="C1" s="43" t="s">
        <v>46</v>
      </c>
      <c r="D1" s="43" t="s">
        <v>47</v>
      </c>
      <c r="E1" s="43" t="s">
        <v>74</v>
      </c>
      <c r="F1" s="43" t="s">
        <v>82</v>
      </c>
      <c r="G1" s="43" t="s">
        <v>83</v>
      </c>
      <c r="H1" s="43" t="s">
        <v>85</v>
      </c>
      <c r="I1" s="1"/>
      <c r="K1" s="29" t="s">
        <v>50</v>
      </c>
      <c r="L1" s="29" t="s">
        <v>48</v>
      </c>
      <c r="M1" s="43" t="s">
        <v>46</v>
      </c>
      <c r="N1" s="43" t="s">
        <v>47</v>
      </c>
      <c r="O1" s="43" t="s">
        <v>74</v>
      </c>
    </row>
    <row r="2" spans="1:15" x14ac:dyDescent="0.3">
      <c r="B2" t="s">
        <v>95</v>
      </c>
      <c r="C2" s="36"/>
      <c r="D2" s="36"/>
      <c r="E2" s="36">
        <v>3.65</v>
      </c>
      <c r="F2" s="36">
        <v>3.49</v>
      </c>
      <c r="G2" s="36">
        <v>3.44</v>
      </c>
      <c r="H2" s="36">
        <v>3.26</v>
      </c>
      <c r="L2" t="s">
        <v>95</v>
      </c>
    </row>
    <row r="3" spans="1:15" x14ac:dyDescent="0.3">
      <c r="B3" t="s">
        <v>61</v>
      </c>
      <c r="C3" s="36"/>
      <c r="D3" s="36"/>
      <c r="E3" s="36">
        <v>3.64</v>
      </c>
      <c r="F3" s="36">
        <v>4.17</v>
      </c>
      <c r="G3" s="36">
        <v>3.65</v>
      </c>
      <c r="H3" s="36">
        <v>4.3899999999999997</v>
      </c>
      <c r="L3" t="s">
        <v>52</v>
      </c>
    </row>
    <row r="4" spans="1:15" x14ac:dyDescent="0.3">
      <c r="C4" s="36"/>
      <c r="D4" s="36"/>
      <c r="E4" s="36"/>
      <c r="F4" s="36"/>
      <c r="G4" s="36"/>
      <c r="H4" s="36"/>
    </row>
    <row r="5" spans="1:15" x14ac:dyDescent="0.3">
      <c r="B5" t="s">
        <v>62</v>
      </c>
      <c r="C5" s="36"/>
      <c r="D5" s="36"/>
      <c r="E5" s="36">
        <v>3.36</v>
      </c>
      <c r="F5" s="36">
        <v>4.46</v>
      </c>
      <c r="G5" s="36">
        <v>3.5</v>
      </c>
      <c r="H5" s="36">
        <v>4.16</v>
      </c>
      <c r="L5" t="s">
        <v>63</v>
      </c>
    </row>
    <row r="6" spans="1:15" x14ac:dyDescent="0.3">
      <c r="C6" s="36"/>
      <c r="D6" s="36"/>
      <c r="E6" s="36">
        <v>4.4000000000000004</v>
      </c>
      <c r="F6" s="36">
        <v>4.6399999999999997</v>
      </c>
      <c r="G6" s="36">
        <v>3.86</v>
      </c>
      <c r="H6" s="36">
        <v>4.05</v>
      </c>
    </row>
    <row r="7" spans="1:15" x14ac:dyDescent="0.3">
      <c r="C7" s="36"/>
      <c r="D7" s="36"/>
      <c r="E7" s="36"/>
      <c r="F7" s="36"/>
      <c r="G7" s="36"/>
      <c r="H7" s="36">
        <v>3.24</v>
      </c>
    </row>
    <row r="8" spans="1:15" x14ac:dyDescent="0.3">
      <c r="C8" s="36"/>
      <c r="D8" s="36"/>
      <c r="E8" s="36"/>
      <c r="F8" s="36"/>
      <c r="G8" s="36"/>
      <c r="H8" s="36"/>
    </row>
    <row r="9" spans="1:15" x14ac:dyDescent="0.3">
      <c r="B9" t="s">
        <v>67</v>
      </c>
      <c r="C9" s="36"/>
      <c r="D9" s="36"/>
      <c r="E9" s="36">
        <v>5.12</v>
      </c>
      <c r="F9" s="36">
        <v>3.94</v>
      </c>
      <c r="G9" s="36">
        <v>4.75</v>
      </c>
      <c r="H9" s="36">
        <v>5.59</v>
      </c>
    </row>
    <row r="10" spans="1:15" x14ac:dyDescent="0.3">
      <c r="C10" s="36"/>
      <c r="D10" s="36"/>
      <c r="E10" s="36">
        <v>5.69</v>
      </c>
      <c r="F10" s="36">
        <v>4.57</v>
      </c>
      <c r="G10" s="36">
        <v>5.07</v>
      </c>
      <c r="H10" s="36">
        <v>6.35</v>
      </c>
    </row>
    <row r="11" spans="1:15" x14ac:dyDescent="0.3">
      <c r="C11" s="36"/>
      <c r="D11" s="36"/>
      <c r="E11" s="36" t="s">
        <v>77</v>
      </c>
      <c r="F11" s="36">
        <v>4.49</v>
      </c>
      <c r="G11" s="36">
        <v>4.49</v>
      </c>
      <c r="H11" s="36">
        <v>7.26</v>
      </c>
    </row>
    <row r="12" spans="1:15" x14ac:dyDescent="0.3">
      <c r="C12" s="36"/>
      <c r="D12" s="36"/>
      <c r="E12" s="36">
        <v>5.1100000000000003</v>
      </c>
      <c r="F12" s="36">
        <v>5.54</v>
      </c>
      <c r="G12" s="36">
        <v>4.71</v>
      </c>
      <c r="H12" s="36">
        <v>3.44</v>
      </c>
      <c r="L12" t="s">
        <v>53</v>
      </c>
    </row>
    <row r="13" spans="1:15" x14ac:dyDescent="0.3">
      <c r="C13" s="36"/>
      <c r="D13" s="36"/>
      <c r="E13" s="36">
        <v>6.12</v>
      </c>
      <c r="F13" s="36">
        <v>3.88</v>
      </c>
      <c r="G13" s="36">
        <v>4.83</v>
      </c>
      <c r="H13" s="36">
        <v>4.7</v>
      </c>
    </row>
    <row r="14" spans="1:15" x14ac:dyDescent="0.3">
      <c r="B14" s="31" t="s">
        <v>66</v>
      </c>
      <c r="C14" s="36"/>
      <c r="D14" s="36"/>
      <c r="E14" s="36"/>
      <c r="F14" s="36"/>
      <c r="G14" s="36"/>
      <c r="H14" s="36"/>
    </row>
    <row r="15" spans="1:15" x14ac:dyDescent="0.3">
      <c r="B15" s="31"/>
      <c r="C15" s="36"/>
      <c r="D15" s="36"/>
      <c r="E15" s="36"/>
      <c r="F15" s="36"/>
      <c r="G15" s="36"/>
      <c r="H15" s="36"/>
      <c r="L15" t="s">
        <v>57</v>
      </c>
    </row>
    <row r="16" spans="1:15" x14ac:dyDescent="0.3">
      <c r="B16" s="31"/>
      <c r="C16" s="36"/>
      <c r="D16" s="36"/>
      <c r="E16" s="36"/>
      <c r="F16" s="36"/>
      <c r="G16" s="36"/>
      <c r="H16" s="36"/>
    </row>
    <row r="17" spans="2:12" x14ac:dyDescent="0.3">
      <c r="C17" s="36"/>
      <c r="D17" s="36"/>
      <c r="E17" s="36"/>
      <c r="F17" s="36"/>
      <c r="G17" s="36"/>
      <c r="H17" s="36"/>
    </row>
    <row r="18" spans="2:12" x14ac:dyDescent="0.3">
      <c r="C18" s="36"/>
      <c r="D18" s="36"/>
      <c r="E18" s="36"/>
      <c r="F18" s="36"/>
      <c r="G18" s="36"/>
      <c r="H18" s="36"/>
    </row>
    <row r="19" spans="2:12" x14ac:dyDescent="0.3">
      <c r="B19" t="s">
        <v>64</v>
      </c>
      <c r="C19" s="36"/>
      <c r="D19" s="36"/>
      <c r="E19" s="36">
        <v>5.23</v>
      </c>
      <c r="F19" s="36">
        <v>4.4000000000000004</v>
      </c>
      <c r="G19" s="36">
        <v>4.88</v>
      </c>
      <c r="H19" s="36">
        <v>7.15</v>
      </c>
    </row>
    <row r="20" spans="2:12" x14ac:dyDescent="0.3">
      <c r="C20" s="36"/>
      <c r="D20" s="36"/>
      <c r="E20" s="36">
        <v>5.67</v>
      </c>
      <c r="F20" s="36">
        <v>4.5999999999999996</v>
      </c>
      <c r="G20" s="36">
        <v>4.66</v>
      </c>
      <c r="H20" s="36">
        <v>6.7</v>
      </c>
    </row>
    <row r="21" spans="2:12" x14ac:dyDescent="0.3">
      <c r="C21" s="36"/>
      <c r="D21" s="36"/>
      <c r="E21" s="36">
        <v>4.5999999999999996</v>
      </c>
      <c r="F21" s="36">
        <v>5.77</v>
      </c>
      <c r="G21" s="36">
        <v>5.87</v>
      </c>
      <c r="H21" s="36">
        <v>6.56</v>
      </c>
      <c r="L21" t="s">
        <v>54</v>
      </c>
    </row>
    <row r="22" spans="2:12" x14ac:dyDescent="0.3">
      <c r="C22" s="36"/>
      <c r="D22" s="36"/>
      <c r="E22" s="36">
        <v>5.35</v>
      </c>
      <c r="F22" s="36">
        <v>5.55</v>
      </c>
      <c r="G22" s="36">
        <v>4.6100000000000003</v>
      </c>
      <c r="H22" s="36">
        <v>7.06</v>
      </c>
    </row>
    <row r="23" spans="2:12" x14ac:dyDescent="0.3">
      <c r="C23" s="36"/>
      <c r="D23" s="36"/>
      <c r="E23" s="36">
        <v>5.1100000000000003</v>
      </c>
      <c r="F23" s="36">
        <v>5.75</v>
      </c>
      <c r="G23" s="36">
        <v>5.49</v>
      </c>
      <c r="H23" s="36" t="e">
        <v>#N/A</v>
      </c>
    </row>
    <row r="24" spans="2:12" x14ac:dyDescent="0.3">
      <c r="C24" s="36"/>
      <c r="D24" s="36"/>
      <c r="E24" s="36"/>
      <c r="F24" s="36"/>
      <c r="G24" s="36"/>
      <c r="H24" s="36"/>
      <c r="L24" t="s">
        <v>68</v>
      </c>
    </row>
    <row r="25" spans="2:12" x14ac:dyDescent="0.3">
      <c r="B25" t="s">
        <v>65</v>
      </c>
      <c r="C25" s="36"/>
      <c r="D25" s="36"/>
      <c r="E25" s="36">
        <v>4.63</v>
      </c>
      <c r="F25" s="36">
        <v>2.09</v>
      </c>
      <c r="G25" s="36">
        <v>5.71</v>
      </c>
      <c r="H25" s="36">
        <v>5.99</v>
      </c>
    </row>
    <row r="26" spans="2:12" x14ac:dyDescent="0.3">
      <c r="C26" s="36"/>
      <c r="D26" s="36"/>
      <c r="E26" s="36">
        <v>4.32</v>
      </c>
      <c r="F26" s="36">
        <v>3.25</v>
      </c>
      <c r="G26" s="36">
        <v>5.18</v>
      </c>
      <c r="H26" s="36">
        <v>6.1</v>
      </c>
    </row>
    <row r="27" spans="2:12" x14ac:dyDescent="0.3">
      <c r="C27" s="36"/>
      <c r="D27" s="36"/>
      <c r="E27" s="36">
        <v>4.9800000000000004</v>
      </c>
      <c r="F27" s="36">
        <v>3.94</v>
      </c>
      <c r="G27" s="36">
        <v>3.68</v>
      </c>
      <c r="H27" s="36">
        <v>6.37</v>
      </c>
    </row>
    <row r="28" spans="2:12" x14ac:dyDescent="0.3">
      <c r="C28" s="36"/>
      <c r="D28" s="36"/>
      <c r="E28" s="36">
        <v>4.18</v>
      </c>
      <c r="F28" s="36">
        <v>3.82</v>
      </c>
      <c r="G28" s="36">
        <v>5.13</v>
      </c>
      <c r="H28" s="36">
        <v>6.13</v>
      </c>
    </row>
    <row r="29" spans="2:12" x14ac:dyDescent="0.3">
      <c r="C29" s="36"/>
      <c r="D29" s="36"/>
      <c r="E29" s="36">
        <v>4.8899999999999997</v>
      </c>
      <c r="F29" s="36">
        <v>2.4700000000000002</v>
      </c>
      <c r="G29" s="36">
        <v>4.22</v>
      </c>
      <c r="H29" s="36">
        <v>5.88</v>
      </c>
    </row>
    <row r="30" spans="2:12" x14ac:dyDescent="0.3">
      <c r="C30" s="36"/>
      <c r="D30" s="36"/>
      <c r="E30" s="36">
        <v>4.6900000000000004</v>
      </c>
      <c r="F30" s="36">
        <v>3.72</v>
      </c>
      <c r="G30" s="36">
        <v>5.42</v>
      </c>
      <c r="H30" s="36">
        <v>6.19</v>
      </c>
      <c r="L30" t="s">
        <v>55</v>
      </c>
    </row>
    <row r="33" spans="12:12" x14ac:dyDescent="0.3">
      <c r="L33" t="s">
        <v>69</v>
      </c>
    </row>
    <row r="39" spans="12:12" x14ac:dyDescent="0.3">
      <c r="L39" t="s">
        <v>56</v>
      </c>
    </row>
    <row r="42" spans="12:12" x14ac:dyDescent="0.3">
      <c r="L42" t="s">
        <v>70</v>
      </c>
    </row>
    <row r="48" spans="12:12" x14ac:dyDescent="0.3">
      <c r="L48" t="s">
        <v>58</v>
      </c>
    </row>
    <row r="51" spans="12:12" x14ac:dyDescent="0.3">
      <c r="L51" t="s">
        <v>71</v>
      </c>
    </row>
    <row r="57" spans="12:12" x14ac:dyDescent="0.3">
      <c r="L57" t="s">
        <v>60</v>
      </c>
    </row>
    <row r="60" spans="12:12" x14ac:dyDescent="0.3">
      <c r="L60" t="s">
        <v>59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Probanden</vt:lpstr>
      <vt:lpstr>Probanden_Labordaten</vt:lpstr>
      <vt:lpstr>Stichprobe</vt:lpstr>
      <vt:lpstr>Stichprobe_final</vt:lpstr>
      <vt:lpstr>T2_Reihenfolge</vt:lpstr>
      <vt:lpstr>Laktat</vt:lpstr>
      <vt:lpstr>Vergleich_Schwellen</vt:lpstr>
      <vt:lpstr>Darstellungen</vt:lpstr>
      <vt:lpstr>Blutglukose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Will</dc:creator>
  <cp:lastModifiedBy>JJRW</cp:lastModifiedBy>
  <dcterms:created xsi:type="dcterms:W3CDTF">2015-06-05T18:19:34Z</dcterms:created>
  <dcterms:modified xsi:type="dcterms:W3CDTF">2024-11-14T17:48:21Z</dcterms:modified>
</cp:coreProperties>
</file>